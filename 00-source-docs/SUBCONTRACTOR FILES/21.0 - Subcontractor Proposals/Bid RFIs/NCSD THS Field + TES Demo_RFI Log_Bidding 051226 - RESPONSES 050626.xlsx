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S:\Precon\NV\2025 Projects\25-10-003 - NCSD - Tonopah HS Sports Field Phs'd Replacement\21.0 - Subcontractor Proposals\Bid RFIs\"/>
    </mc:Choice>
  </mc:AlternateContent>
  <xr:revisionPtr revIDLastSave="0" documentId="8_{25A40F3F-029A-449F-BCBB-FF27A53C9FE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GoBack" localSheetId="0">Sheet1!$C$27</definedName>
    <definedName name="_xlnm.Print_Area" localSheetId="0">Sheet1!$A$1:$K$35</definedName>
    <definedName name="_xlnm.Print_Titles" localSheetId="0">Sheet1!$1:$8</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1" l="1"/>
  <c r="A11" i="1" s="1"/>
  <c r="A12" i="1" s="1"/>
  <c r="A13" i="1" s="1"/>
  <c r="A14" i="1" s="1"/>
  <c r="A15" i="1" s="1"/>
  <c r="A16" i="1" s="1"/>
  <c r="A17" i="1" s="1"/>
  <c r="A18" i="1" s="1"/>
  <c r="A19" i="1" s="1"/>
  <c r="A20" i="1" s="1"/>
  <c r="A21" i="1" s="1"/>
  <c r="A22" i="1" s="1"/>
  <c r="A23" i="1" s="1"/>
  <c r="A26" i="1" s="1"/>
  <c r="A27" i="1" s="1"/>
  <c r="A28" i="1" s="1"/>
  <c r="A29" i="1" s="1"/>
  <c r="A30" i="1" s="1"/>
  <c r="A31" i="1" s="1"/>
  <c r="A32" i="1" s="1"/>
  <c r="A33" i="1" s="1"/>
  <c r="A34" i="1" s="1"/>
  <c r="A36" i="1" s="1"/>
  <c r="A37" i="1" l="1"/>
  <c r="A38" i="1" s="1"/>
  <c r="A39" i="1" s="1"/>
  <c r="A40" i="1" s="1"/>
  <c r="A41" i="1" s="1"/>
  <c r="A42" i="1" s="1"/>
  <c r="A43" i="1" s="1"/>
  <c r="A44" i="1" s="1"/>
  <c r="A45" i="1" s="1"/>
  <c r="A46" i="1" s="1"/>
  <c r="A47" i="1" s="1"/>
  <c r="A48" i="1" s="1"/>
  <c r="A49" i="1" s="1"/>
</calcChain>
</file>

<file path=xl/sharedStrings.xml><?xml version="1.0" encoding="utf-8"?>
<sst xmlns="http://schemas.openxmlformats.org/spreadsheetml/2006/main" count="196" uniqueCount="139">
  <si>
    <t>HIDE THESE COLUMNS 
BEFORE PRINTING 
RESPONSES TO RFIs 
FOR SUBS DISTRIBUTION</t>
  </si>
  <si>
    <t>Request for Information (RFI) Log</t>
  </si>
  <si>
    <t>RFI No.</t>
  </si>
  <si>
    <t>Subject</t>
  </si>
  <si>
    <t>Description</t>
  </si>
  <si>
    <t>Reference</t>
  </si>
  <si>
    <t>Rec'd</t>
  </si>
  <si>
    <t>Contractor</t>
  </si>
  <si>
    <t>Contact</t>
  </si>
  <si>
    <t>Responded</t>
  </si>
  <si>
    <t>Date</t>
  </si>
  <si>
    <t>Response</t>
  </si>
  <si>
    <t>CORE</t>
  </si>
  <si>
    <t>Dawn Duranleau</t>
  </si>
  <si>
    <t>NDX</t>
  </si>
  <si>
    <t>Daryl Hanks</t>
  </si>
  <si>
    <t>NCSD Tonopah High School Field Replacement &amp; Elementary School Demo</t>
  </si>
  <si>
    <t>Bid Date: 05/12/2026              Docs: 04/20/2026 Bid Documents</t>
  </si>
  <si>
    <t>G1</t>
  </si>
  <si>
    <t>Parking Area Paving</t>
  </si>
  <si>
    <t>Drawing G1, Note 1 is labeled for 2" Asphalt. What will be the asphalt paving limits for this parking area?</t>
  </si>
  <si>
    <t>GD</t>
  </si>
  <si>
    <t xml:space="preserve">Paving Section </t>
  </si>
  <si>
    <t>Drawing GD, Detail L might have a discrepancy. Should this be labeled "Concrete" or "Asphalt"?</t>
  </si>
  <si>
    <t>Please disregard this note - there is no paving at parking area or driveway. These are to be graded earth, no paving. The only asphalt paving is at the running track per detail J/GD.</t>
  </si>
  <si>
    <t>Locker Specs</t>
  </si>
  <si>
    <t>Please provide locker specifications.</t>
  </si>
  <si>
    <t>SOW 077</t>
  </si>
  <si>
    <t>IISI</t>
  </si>
  <si>
    <t>William Obarski</t>
  </si>
  <si>
    <t>Fire Alarm System</t>
  </si>
  <si>
    <t>LS1-01, E01-01</t>
  </si>
  <si>
    <t>LS1-01 indicates NO FIRE ALARM. E0-01 Electrical General Notes include Fire Alarm. Please confirm if Fire Alarm system will be required. If so, will it need to be tied back to campus fire alarm / high school building? If tied back to existing FAP, please provide FAP information.</t>
  </si>
  <si>
    <t>The bid specs are calling out the FB-2022 scoreboard. That scoreboard is discontinued. Did you want a quote for both the FB-2021 and FB-2023 and the school can decide which one they want? The main difference is that FB-2023 has two extra digits on the clock track timing.</t>
  </si>
  <si>
    <t>Scoreboard Model</t>
  </si>
  <si>
    <t>YESCO</t>
  </si>
  <si>
    <t>Karen Munson</t>
  </si>
  <si>
    <t>A1-20</t>
  </si>
  <si>
    <t>Asphalt Section</t>
  </si>
  <si>
    <t>Please provide asphalt section / thicknesses for running track wearing course.</t>
  </si>
  <si>
    <t>Hardware Specs</t>
  </si>
  <si>
    <t>Please provide hardware specifications</t>
  </si>
  <si>
    <t xml:space="preserve">Hallgren </t>
  </si>
  <si>
    <t>Max Wolf</t>
  </si>
  <si>
    <t>A11-10</t>
  </si>
  <si>
    <t>Slope Stabilization</t>
  </si>
  <si>
    <t>Will any slope stabilization measures be required. If so, please provide extents and specifications</t>
  </si>
  <si>
    <t>All 5s</t>
  </si>
  <si>
    <t>Wilson Norris</t>
  </si>
  <si>
    <t>Propane Tank Fencing</t>
  </si>
  <si>
    <t>Salvage Existing Fencing (ALT)</t>
  </si>
  <si>
    <t>Fencing Spoils</t>
  </si>
  <si>
    <t>Chain Link Fence Footing</t>
  </si>
  <si>
    <t xml:space="preserve">For the add/alternate #023.01-C Propane Tank Fencing, do you have a site plan with dimensions for this area?  Can you also please clarify what the height of this new fence is supposed to be?    </t>
  </si>
  <si>
    <t>SOW 023</t>
  </si>
  <si>
    <t>Assume 150 LF fencing, 6'H. Include one pair access gate ((2) 3'-0"W gates) with hardware.</t>
  </si>
  <si>
    <t>Assume salvage of all fencing (provide linear footage). Reuse existing chainlink fabric and hardware. Reuse posts (reinstall on existing posts). Demo by SOW 008.</t>
  </si>
  <si>
    <t xml:space="preserve">For keynote 2-09 on sheet A1-13, can you confirm whether this fencing material will be procured as part of the bleachers (by others) or if we need to procure this material as well?   </t>
  </si>
  <si>
    <t xml:space="preserve">For the add/alternate #023.02 – Deduct for Salvage of Chain Link fence, do you want us to assume that the linear footage of existing chain link fence to be removed per sheet AD1-10 is the same quantity of fence to be priced as salvageable?  Do you want us to price reusing just chain link fabric and hardware or also all of the posts?  If we are to price reusing posts, can you confirm how long they are?  Additionally, do you want us to price the demo scope of work for this as another add/alt?   </t>
  </si>
  <si>
    <t>A1-13</t>
  </si>
  <si>
    <t>Fencing mounted on top of Bleacher system by SOW 094 . Fencing below bleachers (not clearly indicated) by Fencing sub (SOW 023), 6’H.</t>
  </si>
  <si>
    <t xml:space="preserve">Will there be a place onsite to dump spoils accumulated during fence post excavation?  </t>
  </si>
  <si>
    <t>No, please include haul and disposal (may provide as an Alternate, but we’ll need this cost).</t>
  </si>
  <si>
    <t xml:space="preserve">For detail 3 on sheet A1-20, can you confirm the depth of typical chain link post footings should match the depth of chain link gate footings which is 3’-0”?  </t>
  </si>
  <si>
    <t>Turf Subbase</t>
  </si>
  <si>
    <t>Will gravel subbase be by Turf or by others?</t>
  </si>
  <si>
    <t>Sprinturf</t>
  </si>
  <si>
    <t>Tyson Jaquez</t>
  </si>
  <si>
    <t>Finished subgrade (compacted earth) and gravel subbase material by SOW 008.
Turf sub (SOW 022) shall provide everything from the geotextile underlayment up, including any leveling sand (if/as required), and the rest of the Turf system (pad, edge treatments, etc.).</t>
  </si>
  <si>
    <t>Turf Scope</t>
  </si>
  <si>
    <t>Can the synthetic turf contractor portion start at the shock pad? That would mean geo liner, rock, leveling sand, drainge, and header board by Others.</t>
  </si>
  <si>
    <t>SOW 022
SOW 008
SOW 030</t>
  </si>
  <si>
    <t xml:space="preserve">SOW 022
SOW 008 </t>
  </si>
  <si>
    <t>Please provide Base Bid Turf proposal (SOW 022) per Response to RFI #14.
SOW 022 to provide itemized Deductive Alternates for the following:
 - Geo Liner
 - Leveling Sand
 - Field Drainage System
 - Header Board
SOW 008 to provide itemized Additive Alternates for the following:
 - Geo Liner
 - Leveling Sand
 - Field Drainage System
SOW 030 to provide Additive Alternate for the following:
 - Header Board</t>
  </si>
  <si>
    <t>Please use the greater (quantity) for your proposal. Buildings to be Abated are Bldgs #3-7.</t>
  </si>
  <si>
    <t>Asbestos Quantities</t>
  </si>
  <si>
    <t>Per the asbestos survey page 3-14 shows all the positive asbestos material but on page 15 to 17 is showing the materials to be removed. Please clarify if the only asbestos material to be removed is on page 15 to 17.</t>
  </si>
  <si>
    <t>Asbestos Report / Survey</t>
  </si>
  <si>
    <t>Northstar Contracting</t>
  </si>
  <si>
    <t>Fernando Cerda</t>
  </si>
  <si>
    <t>Charles Crane</t>
  </si>
  <si>
    <t>General Fence</t>
  </si>
  <si>
    <t>How much temporary fencing will be required for both the demolition project and the main project?</t>
  </si>
  <si>
    <t>Where is Section 08 7100 – Door Hardware: Gate Locking Device located? Regarding the fences, should we follow Section 32 3113, Item 2.04?</t>
  </si>
  <si>
    <t>On Site Demo Plans AD1‑10 Keynotes 1‑14, is this an existing 6' chain‑link fence that we are repairing?</t>
  </si>
  <si>
    <t>Is the existing chain‑link fence 6' black  vinyl coated?</t>
  </si>
  <si>
    <t>Temp Fencing</t>
  </si>
  <si>
    <t>Gate Hardware</t>
  </si>
  <si>
    <t>Bleacher Fencing - Height</t>
  </si>
  <si>
    <t>Bleacher Fencing - Responsibility</t>
  </si>
  <si>
    <t>Fencing Specs</t>
  </si>
  <si>
    <t>GEN</t>
  </si>
  <si>
    <t>spec 08 7100, 
32 3113</t>
  </si>
  <si>
    <t>What is the height of the apex of the bleachers (A1‑40)? Need for quoting Keynote 2-09 on sheet A1-13.</t>
  </si>
  <si>
    <t>A1-40, A1-13</t>
  </si>
  <si>
    <t>AD1-10</t>
  </si>
  <si>
    <t>Existing Chain Link Fencing to Remain</t>
  </si>
  <si>
    <t>Existing Chain Link Fencing Finish</t>
  </si>
  <si>
    <t>No</t>
  </si>
  <si>
    <t>Please refer to bid instructions in Scope of Work - 023 Fencing &amp; Gates (folder 02 - Subcontractor Trade Scopes of Work). Existing fencing to be replaced in its entirety (Base Bid). Provide Deductive Alternate per RFI #10.</t>
  </si>
  <si>
    <t>At High School, you may assume 2800 LF of temporary fencing. 
At Abandoned Elementary School, you may assume 2300 LF of temporary fencing. 
It remains the subcontractors responsibility to verify quantities in the field.</t>
  </si>
  <si>
    <t>The metal roofing specifications call out MBCI PBR panel for the basis of design. The plans call out a Berridge Cee-lock standing seam panel. Can you please clarify system, material and thickness?</t>
  </si>
  <si>
    <t>Canyon State Enterprises</t>
  </si>
  <si>
    <t>Randy Finch</t>
  </si>
  <si>
    <t>Roof Specs</t>
  </si>
  <si>
    <t>Elite Sports Builders</t>
  </si>
  <si>
    <t>Troy Rudolph</t>
  </si>
  <si>
    <t>Jetstream Construction</t>
  </si>
  <si>
    <t>Dave Traster</t>
  </si>
  <si>
    <t>A4-20</t>
  </si>
  <si>
    <t xml:space="preserve">Keynote 6-02 states - CMU WALL - PROVIDE GYP. BD. O/ 1-1/2'' METAL HAT CHANNELS (VERTICAL ORIENTATION) W/ EXTENDED MASONRY FASTENERS O/ 2'' RIGID INSULATION O/ FLUID APPLIED AIR AND WATER-RESISTIVE BARRIER. Wall types do not call this out is it assumed that all exterior CMU walls will get the Rigid? It would also be better to utilize a standard Z fur with the rigid instead of applying a hat over the rigid is this acceptable? </t>
  </si>
  <si>
    <t>A4-10</t>
  </si>
  <si>
    <t>spec 32 3113,  A1‑20</t>
  </si>
  <si>
    <t>spec 32 1823.33</t>
  </si>
  <si>
    <t>spec 07 6100</t>
  </si>
  <si>
    <t xml:space="preserve">The specification section 32 18 23.33 Running Track Surfacing specifies the Stobitan SC surfacing system as approved. Yet, section 3.3 Surfacing does not detail out the shock (base) mat. It simply states "Apply a prime coat followed by two coats of structural coating to the entire track and field events areas." This is obviously incorrect; please confirm proposal on the entire surfacing system should be as it should be applied per the manufacturer's specifications. </t>
  </si>
  <si>
    <t>Running Track Surfacing Spec</t>
  </si>
  <si>
    <t>Sheathing at Eaves</t>
  </si>
  <si>
    <t>Exterior Wall Construction</t>
  </si>
  <si>
    <t xml:space="preserve">A4-20 details 3, 4, 6 show a solid sheathing at eaves. Detail 5 shows 2-1/2'' metal framing with no sheathing. I'm assuming the sheathing is needed at all eaves - Please confirm. 
Is the sheathing on the eaves to be picked up in our scope (assuming 5/8" Dens Glass) or will the roofing contractor have that covered as it runs with their sheathing from the roof system? </t>
  </si>
  <si>
    <t>TANEY</t>
  </si>
  <si>
    <t>Changed to asphalt</t>
  </si>
  <si>
    <t>Running track to be designed by others. Asphalt to be used 4" type II</t>
  </si>
  <si>
    <t>KNIT</t>
  </si>
  <si>
    <t>SLA</t>
  </si>
  <si>
    <r>
      <t>Line Posts OD: 1.9″ (1‑7/8″)</t>
    </r>
    <r>
      <rPr>
        <sz val="11"/>
        <color rgb="FFFF0000"/>
        <rFont val="Calibri"/>
        <family val="2"/>
        <scheme val="minor"/>
      </rPr>
      <t xml:space="preserve"> VS</t>
    </r>
    <r>
      <rPr>
        <sz val="11"/>
        <rFont val="Calibri"/>
        <family val="2"/>
        <scheme val="minor"/>
      </rPr>
      <t xml:space="preserve"> 2‑3/8″
Corner Terminal Posts OD 2.38″ (2‑3/8″) </t>
    </r>
    <r>
      <rPr>
        <sz val="11"/>
        <color rgb="FFFF0000"/>
        <rFont val="Calibri"/>
        <family val="2"/>
        <scheme val="minor"/>
      </rPr>
      <t>VS</t>
    </r>
    <r>
      <rPr>
        <sz val="11"/>
        <rFont val="Calibri"/>
        <family val="2"/>
        <scheme val="minor"/>
      </rPr>
      <t xml:space="preserve"> 2‑7/8″
Tension Wire Gauge 6 Gauge </t>
    </r>
    <r>
      <rPr>
        <sz val="11"/>
        <color rgb="FFFF0000"/>
        <rFont val="Calibri"/>
        <family val="2"/>
        <scheme val="minor"/>
      </rPr>
      <t xml:space="preserve">VS </t>
    </r>
    <r>
      <rPr>
        <sz val="11"/>
        <rFont val="Calibri"/>
        <family val="2"/>
        <scheme val="minor"/>
      </rPr>
      <t>9 Gauge
Chain‑Link Fabric 6 </t>
    </r>
    <r>
      <rPr>
        <sz val="11"/>
        <color rgb="FFFF0000"/>
        <rFont val="Calibri"/>
        <family val="2"/>
        <scheme val="minor"/>
      </rPr>
      <t>VS</t>
    </r>
    <r>
      <rPr>
        <sz val="11"/>
        <rFont val="Calibri"/>
        <family val="2"/>
        <scheme val="minor"/>
      </rPr>
      <t> 9 Gauge 
Please confirm which document takes precedence so we can align our bid accordingly.</t>
    </r>
  </si>
  <si>
    <t>BOD: ASI Storage Solutions, LLC, Pro Collection, Locker Configuration: Security Box and Foot Locker, Width: 24", Depth: 18", Enclosed Locker Height: 72", Color: Black #11, Locker Case Construction: Heavy-Duty Construction made of formed sheet metal, metal edges, finished smooth without burrs, Ventilation type: Diamond-perforated side openings, Included accessories: Shelf, wall hook, coat rod.</t>
  </si>
  <si>
    <t>Fire Alarm required per code. See Sheet E3-00 for tie-in to existing FAP at existing High School</t>
  </si>
  <si>
    <t>BOD: FB-2021</t>
  </si>
  <si>
    <t xml:space="preserve">Surfacing system to be installed per manufacturers specifications, but at a minimum, two (2) coats of structural spray coating is required. </t>
  </si>
  <si>
    <t>A1-20 takes precedence</t>
  </si>
  <si>
    <t>No slope stabilization required</t>
  </si>
  <si>
    <t>To be provided</t>
  </si>
  <si>
    <t>Metal roofing specifications take precedence</t>
  </si>
  <si>
    <t>Yes. Assume 5/8" Dens Glass- no wood.</t>
  </si>
  <si>
    <t>Knit takes no exception to this proposed alternative. Assume all exterior walls, and restroom vestibule walls, have this assembly.</t>
  </si>
  <si>
    <t>Contractor to coordinate with pressbox and bleacher manufacturer</t>
  </si>
  <si>
    <t>Yes, reference item 2.04</t>
  </si>
  <si>
    <t xml:space="preserve">Chain link footing to extend 6" below bottom of fence post. Contractor to coordinate with fence manufacturer.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</si>
</sst>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5" x14ac:knownFonts="1">
    <font>
      <sz val="11"/>
      <color theme="1"/>
      <name val="Calibri"/>
      <family val="2"/>
      <scheme val="minor"/>
    </font>
    <font>
      <sz val="16"/>
      <color theme="1"/>
      <name val="Calibri"/>
      <family val="2"/>
      <scheme val="minor"/>
    </font>
    <font>
      <b/>
      <sz val="16"/>
      <color theme="1"/>
      <name val="Calibri"/>
      <family val="2"/>
      <scheme val="minor"/>
    </font>
    <font>
      <b/>
      <sz val="14"/>
      <color theme="1"/>
      <name val="Calibri"/>
      <family val="2"/>
      <scheme val="minor"/>
    </font>
    <font>
      <sz val="14"/>
      <color theme="1"/>
      <name val="Calibri"/>
      <family val="2"/>
      <scheme val="minor"/>
    </font>
    <font>
      <sz val="11"/>
      <name val="Calibri"/>
      <family val="2"/>
      <scheme val="minor"/>
    </font>
    <font>
      <b/>
      <sz val="14"/>
      <name val="Calibri"/>
      <family val="2"/>
      <scheme val="minor"/>
    </font>
    <font>
      <sz val="11"/>
      <color rgb="FF9C0006"/>
      <name val="Calibri"/>
      <family val="2"/>
      <scheme val="minor"/>
    </font>
    <font>
      <b/>
      <sz val="11"/>
      <color theme="0"/>
      <name val="Calibri"/>
      <family val="2"/>
      <scheme val="minor"/>
    </font>
    <font>
      <sz val="11"/>
      <color theme="1"/>
      <name val="Calibri"/>
      <family val="2"/>
      <scheme val="minor"/>
    </font>
    <font>
      <sz val="8"/>
      <name val="Calibri"/>
      <family val="2"/>
      <scheme val="minor"/>
    </font>
    <font>
      <b/>
      <sz val="12"/>
      <color theme="1"/>
      <name val="Calibri"/>
      <family val="2"/>
      <scheme val="minor"/>
    </font>
    <font>
      <sz val="10"/>
      <name val="Arial"/>
      <family val="2"/>
    </font>
    <font>
      <sz val="10"/>
      <name val="Arial"/>
      <family val="2"/>
    </font>
    <font>
      <sz val="11"/>
      <color rgb="FFFF0000"/>
      <name val="Calibri"/>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rgb="FFFFEB9C"/>
      </patternFill>
    </fill>
    <fill>
      <patternFill patternType="solid">
        <fgColor rgb="FFA5A5A5"/>
      </patternFill>
    </fill>
    <fill>
      <patternFill patternType="solid">
        <fgColor rgb="FFFFFF00"/>
        <bgColor indexed="64"/>
      </patternFill>
    </fill>
    <fill>
      <patternFill patternType="solid">
        <fgColor rgb="FFFF0000"/>
        <bgColor indexed="64"/>
      </patternFill>
    </fill>
    <fill>
      <patternFill patternType="solid">
        <fgColor theme="2"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s>
  <cellStyleXfs count="13">
    <xf numFmtId="0" fontId="0" fillId="0" borderId="0">
      <alignment wrapText="1"/>
    </xf>
    <xf numFmtId="0" fontId="5" fillId="3" borderId="0" applyNumberFormat="0" applyBorder="0" applyAlignment="0" applyProtection="0"/>
    <xf numFmtId="0" fontId="8" fillId="4" borderId="2" applyNumberFormat="0" applyAlignment="0" applyProtection="0"/>
    <xf numFmtId="0" fontId="7" fillId="5" borderId="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12" fillId="0" borderId="0"/>
    <xf numFmtId="0" fontId="13" fillId="0" borderId="0"/>
    <xf numFmtId="0" fontId="12" fillId="0" borderId="0"/>
  </cellStyleXfs>
  <cellXfs count="39">
    <xf numFmtId="0" fontId="0" fillId="0" borderId="0" xfId="0">
      <alignment wrapText="1"/>
    </xf>
    <xf numFmtId="0" fontId="0" fillId="0" borderId="0" xfId="0" applyAlignment="1">
      <alignment vertical="top" wrapText="1"/>
    </xf>
    <xf numFmtId="0" fontId="0" fillId="0" borderId="0" xfId="0" applyAlignment="1">
      <alignment horizontal="center" vertical="top"/>
    </xf>
    <xf numFmtId="0" fontId="0" fillId="0" borderId="0" xfId="0" applyAlignment="1">
      <alignment vertical="center"/>
    </xf>
    <xf numFmtId="0" fontId="3" fillId="2" borderId="1" xfId="0" applyFont="1" applyFill="1" applyBorder="1" applyAlignment="1">
      <alignment vertical="center"/>
    </xf>
    <xf numFmtId="0" fontId="3" fillId="2" borderId="1" xfId="0" applyFont="1" applyFill="1" applyBorder="1" applyAlignment="1">
      <alignment vertical="center" wrapText="1"/>
    </xf>
    <xf numFmtId="1" fontId="5" fillId="0" borderId="1" xfId="0" applyNumberFormat="1" applyFont="1" applyBorder="1" applyAlignment="1">
      <alignment horizontal="center" vertical="top" wrapText="1"/>
    </xf>
    <xf numFmtId="16" fontId="5" fillId="0" borderId="1" xfId="0" applyNumberFormat="1" applyFont="1" applyBorder="1" applyAlignment="1">
      <alignment horizontal="center" vertical="top" wrapText="1"/>
    </xf>
    <xf numFmtId="0" fontId="5" fillId="0" borderId="0" xfId="0" applyFont="1">
      <alignment wrapText="1"/>
    </xf>
    <xf numFmtId="0" fontId="0" fillId="0" borderId="0" xfId="0" applyAlignment="1">
      <alignment horizontal="center" vertical="top" wrapText="1"/>
    </xf>
    <xf numFmtId="0" fontId="3" fillId="2" borderId="1" xfId="0" applyFont="1" applyFill="1" applyBorder="1" applyAlignment="1">
      <alignment horizontal="center" vertical="center" wrapText="1"/>
    </xf>
    <xf numFmtId="0" fontId="0" fillId="0" borderId="0" xfId="0" applyAlignment="1">
      <alignment vertical="center" wrapText="1"/>
    </xf>
    <xf numFmtId="0" fontId="5" fillId="0" borderId="1" xfId="0" applyFont="1" applyBorder="1" applyAlignment="1">
      <alignment vertical="top" wrapText="1"/>
    </xf>
    <xf numFmtId="164" fontId="5" fillId="0" borderId="1" xfId="0" applyNumberFormat="1" applyFont="1" applyBorder="1" applyAlignment="1">
      <alignment horizontal="center" vertical="top" wrapText="1"/>
    </xf>
    <xf numFmtId="0" fontId="2" fillId="0" borderId="0" xfId="0" applyFont="1" applyAlignment="1">
      <alignment horizontal="left" vertical="top" wrapText="1"/>
    </xf>
    <xf numFmtId="164" fontId="1" fillId="0" borderId="0" xfId="0" applyNumberFormat="1" applyFont="1" applyAlignment="1">
      <alignment horizontal="center" vertical="top" wrapText="1"/>
    </xf>
    <xf numFmtId="0" fontId="5" fillId="0" borderId="0" xfId="0" applyFont="1" applyAlignment="1">
      <alignment vertical="top" wrapText="1"/>
    </xf>
    <xf numFmtId="0" fontId="0" fillId="0" borderId="0" xfId="0" quotePrefix="1" applyAlignment="1">
      <alignment horizontal="left" vertical="top" wrapText="1"/>
    </xf>
    <xf numFmtId="164" fontId="0" fillId="0" borderId="0" xfId="0" applyNumberFormat="1" applyAlignment="1">
      <alignment horizontal="center" vertical="top" wrapText="1"/>
    </xf>
    <xf numFmtId="0" fontId="0" fillId="0" borderId="0" xfId="0" applyAlignment="1">
      <alignment horizontal="left" vertical="top" wrapText="1"/>
    </xf>
    <xf numFmtId="0" fontId="3" fillId="0" borderId="0" xfId="0" applyFont="1" applyAlignment="1">
      <alignment horizontal="left" vertical="top" wrapText="1"/>
    </xf>
    <xf numFmtId="164" fontId="4" fillId="0" borderId="0" xfId="0" applyNumberFormat="1" applyFont="1" applyAlignment="1">
      <alignment horizontal="center" vertical="top" wrapText="1"/>
    </xf>
    <xf numFmtId="164" fontId="3" fillId="2" borderId="1" xfId="0" applyNumberFormat="1" applyFont="1" applyFill="1" applyBorder="1" applyAlignment="1">
      <alignment horizontal="center" vertical="center" wrapText="1"/>
    </xf>
    <xf numFmtId="0" fontId="6" fillId="2" borderId="1" xfId="0" applyFont="1" applyFill="1" applyBorder="1" applyAlignment="1">
      <alignment vertical="top" wrapText="1"/>
    </xf>
    <xf numFmtId="16" fontId="5" fillId="0" borderId="1" xfId="0" quotePrefix="1" applyNumberFormat="1" applyFont="1" applyBorder="1" applyAlignment="1">
      <alignment horizontal="center" vertical="top" wrapText="1"/>
    </xf>
    <xf numFmtId="0" fontId="3" fillId="6" borderId="1" xfId="0" applyFont="1" applyFill="1" applyBorder="1" applyAlignment="1">
      <alignment horizontal="center" vertical="center" wrapText="1"/>
    </xf>
    <xf numFmtId="0" fontId="5" fillId="6" borderId="1" xfId="0" applyFont="1" applyFill="1" applyBorder="1" applyAlignment="1">
      <alignment horizontal="center" vertical="top" wrapText="1"/>
    </xf>
    <xf numFmtId="0" fontId="0" fillId="6" borderId="0" xfId="0" applyFill="1" applyAlignment="1">
      <alignment horizontal="center" vertical="top" wrapText="1"/>
    </xf>
    <xf numFmtId="1" fontId="5" fillId="7" borderId="1" xfId="0" applyNumberFormat="1" applyFont="1" applyFill="1" applyBorder="1" applyAlignment="1">
      <alignment horizontal="center" vertical="top" wrapText="1"/>
    </xf>
    <xf numFmtId="0" fontId="5" fillId="7" borderId="1" xfId="0" applyFont="1" applyFill="1" applyBorder="1" applyAlignment="1">
      <alignment vertical="top" wrapText="1"/>
    </xf>
    <xf numFmtId="16" fontId="5" fillId="7" borderId="1" xfId="0" applyNumberFormat="1" applyFont="1" applyFill="1" applyBorder="1" applyAlignment="1">
      <alignment horizontal="center" vertical="top" wrapText="1"/>
    </xf>
    <xf numFmtId="164" fontId="5" fillId="7" borderId="1" xfId="0" applyNumberFormat="1" applyFont="1" applyFill="1" applyBorder="1" applyAlignment="1">
      <alignment horizontal="center" vertical="top" wrapText="1"/>
    </xf>
    <xf numFmtId="164" fontId="3" fillId="0" borderId="1" xfId="0" applyNumberFormat="1" applyFont="1" applyBorder="1" applyAlignment="1">
      <alignment horizontal="center" vertical="center"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14" fillId="0" borderId="0" xfId="0" applyFont="1">
      <alignment wrapText="1"/>
    </xf>
    <xf numFmtId="0" fontId="11" fillId="6" borderId="0" xfId="0" applyFont="1" applyFill="1" applyAlignment="1">
      <alignment horizontal="center" vertical="center" wrapText="1"/>
    </xf>
    <xf numFmtId="164" fontId="5" fillId="0" borderId="1" xfId="0" applyNumberFormat="1" applyFont="1" applyFill="1" applyBorder="1" applyAlignment="1">
      <alignment horizontal="center" vertical="top" wrapText="1"/>
    </xf>
    <xf numFmtId="0" fontId="5" fillId="0" borderId="1" xfId="0" applyFont="1" applyFill="1" applyBorder="1" applyAlignment="1">
      <alignment vertical="top" wrapText="1"/>
    </xf>
  </cellXfs>
  <cellStyles count="13">
    <cellStyle name="Bad 2" xfId="3" xr:uid="{00000000-0005-0000-0000-000000000000}"/>
    <cellStyle name="Check Cell" xfId="2" builtinId="23" customBuiltin="1"/>
    <cellStyle name="Neutral" xfId="1" builtinId="28" customBuiltin="1"/>
    <cellStyle name="Normal" xfId="0" builtinId="0" customBuiltin="1"/>
    <cellStyle name="Normal 2" xfId="4" xr:uid="{00000000-0005-0000-0000-000004000000}"/>
    <cellStyle name="Normal 2 2" xfId="10" xr:uid="{3768758B-5866-4A41-86E9-D99CE6B5C75A}"/>
    <cellStyle name="Normal 3" xfId="5" xr:uid="{00000000-0005-0000-0000-000005000000}"/>
    <cellStyle name="Normal 3 2" xfId="11" xr:uid="{75823D23-A13C-47B5-92ED-CC21B948BE4A}"/>
    <cellStyle name="Normal 3 2 2" xfId="12" xr:uid="{C1E12008-D9A7-46BE-AAC6-F7AA78F8D1DE}"/>
    <cellStyle name="Normal 4" xfId="6" xr:uid="{00000000-0005-0000-0000-000006000000}"/>
    <cellStyle name="Normal 5" xfId="7" xr:uid="{00000000-0005-0000-0000-000007000000}"/>
    <cellStyle name="Normal 6" xfId="8" xr:uid="{00000000-0005-0000-0000-000008000000}"/>
    <cellStyle name="Normal 7" xfId="9" xr:uid="{0EF194B1-1677-45EA-8D1D-52FFAD77EB5A}"/>
  </cellStyles>
  <dxfs count="0"/>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2209800</xdr:colOff>
      <xdr:row>4</xdr:row>
      <xdr:rowOff>226422</xdr:rowOff>
    </xdr:to>
    <xdr:pic>
      <xdr:nvPicPr>
        <xdr:cNvPr id="1030" name="Picture 1" descr="Description: CORE Logo.png">
          <a:extLst>
            <a:ext uri="{FF2B5EF4-FFF2-40B4-BE49-F238E27FC236}">
              <a16:creationId xmlns:a16="http://schemas.microsoft.com/office/drawing/2014/main" id="{00000000-0008-0000-0000-000006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828925"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49"/>
  <sheetViews>
    <sheetView tabSelected="1" topLeftCell="A33" zoomScaleNormal="100" zoomScaleSheetLayoutView="130" workbookViewId="0">
      <selection activeCell="K35" sqref="A1:K35"/>
    </sheetView>
  </sheetViews>
  <sheetFormatPr defaultRowHeight="15" outlineLevelCol="1" x14ac:dyDescent="0.25"/>
  <cols>
    <col min="1" max="1" width="9.28515625" style="2" bestFit="1" customWidth="1"/>
    <col min="2" max="2" width="51.28515625" style="1" customWidth="1"/>
    <col min="3" max="3" width="59" style="1" customWidth="1"/>
    <col min="4" max="4" width="16.7109375" style="9" customWidth="1"/>
    <col min="5" max="5" width="10.42578125" style="18" customWidth="1"/>
    <col min="6" max="6" width="11.28515625" style="27" hidden="1" customWidth="1" outlineLevel="1"/>
    <col min="7" max="7" width="11.7109375" style="27" hidden="1" customWidth="1" outlineLevel="1"/>
    <col min="8" max="8" width="5.7109375" style="27" hidden="1" customWidth="1" outlineLevel="1"/>
    <col min="9" max="9" width="15.7109375" style="18" customWidth="1" collapsed="1"/>
    <col min="10" max="10" width="9.7109375" style="18" customWidth="1"/>
    <col min="11" max="11" width="68.140625" style="16" customWidth="1"/>
    <col min="12" max="12" width="9.28515625"/>
    <col min="13" max="13" width="42.7109375" customWidth="1"/>
  </cols>
  <sheetData>
    <row r="2" spans="1:12" ht="42" x14ac:dyDescent="0.25">
      <c r="C2" s="14" t="s">
        <v>16</v>
      </c>
      <c r="E2" s="15"/>
      <c r="F2" s="36" t="s">
        <v>0</v>
      </c>
      <c r="G2" s="36"/>
      <c r="H2" s="36"/>
      <c r="I2" s="15"/>
      <c r="J2" s="15"/>
    </row>
    <row r="3" spans="1:12" x14ac:dyDescent="0.25">
      <c r="C3" s="17"/>
      <c r="F3" s="36"/>
      <c r="G3" s="36"/>
      <c r="H3" s="36"/>
    </row>
    <row r="4" spans="1:12" x14ac:dyDescent="0.25">
      <c r="C4" s="19"/>
      <c r="F4" s="36"/>
      <c r="G4" s="36"/>
      <c r="H4" s="36"/>
    </row>
    <row r="5" spans="1:12" ht="18.75" x14ac:dyDescent="0.25">
      <c r="C5" s="20" t="s">
        <v>1</v>
      </c>
      <c r="E5" s="21"/>
      <c r="F5" s="36"/>
      <c r="G5" s="36"/>
      <c r="H5" s="36"/>
      <c r="I5" s="21"/>
      <c r="J5" s="21"/>
    </row>
    <row r="6" spans="1:12" x14ac:dyDescent="0.25">
      <c r="C6" s="1" t="s">
        <v>17</v>
      </c>
      <c r="F6" s="36"/>
      <c r="G6" s="36"/>
      <c r="H6" s="36"/>
    </row>
    <row r="8" spans="1:12" s="3" customFormat="1" ht="37.5" x14ac:dyDescent="0.25">
      <c r="A8" s="4" t="s">
        <v>2</v>
      </c>
      <c r="B8" s="5" t="s">
        <v>3</v>
      </c>
      <c r="C8" s="5" t="s">
        <v>4</v>
      </c>
      <c r="D8" s="10" t="s">
        <v>5</v>
      </c>
      <c r="E8" s="22" t="s">
        <v>6</v>
      </c>
      <c r="F8" s="25" t="s">
        <v>7</v>
      </c>
      <c r="G8" s="25" t="s">
        <v>8</v>
      </c>
      <c r="H8" s="25"/>
      <c r="I8" s="32" t="s">
        <v>9</v>
      </c>
      <c r="J8" s="32" t="s">
        <v>10</v>
      </c>
      <c r="K8" s="23" t="s">
        <v>11</v>
      </c>
      <c r="L8" s="11"/>
    </row>
    <row r="9" spans="1:12" s="8" customFormat="1" ht="45" x14ac:dyDescent="0.25">
      <c r="A9" s="6">
        <v>1</v>
      </c>
      <c r="B9" s="12" t="s">
        <v>19</v>
      </c>
      <c r="C9" s="12" t="s">
        <v>20</v>
      </c>
      <c r="D9" s="24" t="s">
        <v>18</v>
      </c>
      <c r="E9" s="13">
        <v>46133</v>
      </c>
      <c r="F9" s="26" t="s">
        <v>14</v>
      </c>
      <c r="G9" s="26" t="s">
        <v>15</v>
      </c>
      <c r="H9" s="26"/>
      <c r="I9" s="13" t="s">
        <v>12</v>
      </c>
      <c r="J9" s="13">
        <v>46133</v>
      </c>
      <c r="K9" s="12" t="s">
        <v>24</v>
      </c>
    </row>
    <row r="10" spans="1:12" s="8" customFormat="1" ht="30" x14ac:dyDescent="0.25">
      <c r="A10" s="6">
        <f>A9+1</f>
        <v>2</v>
      </c>
      <c r="B10" s="12" t="s">
        <v>22</v>
      </c>
      <c r="C10" s="12" t="s">
        <v>23</v>
      </c>
      <c r="D10" s="7" t="s">
        <v>21</v>
      </c>
      <c r="E10" s="13">
        <v>46133</v>
      </c>
      <c r="F10" s="26" t="s">
        <v>14</v>
      </c>
      <c r="G10" s="26" t="s">
        <v>15</v>
      </c>
      <c r="H10" s="26"/>
      <c r="I10" s="37" t="s">
        <v>120</v>
      </c>
      <c r="J10" s="37">
        <v>46141</v>
      </c>
      <c r="K10" s="38" t="s">
        <v>121</v>
      </c>
    </row>
    <row r="11" spans="1:12" s="8" customFormat="1" ht="90" x14ac:dyDescent="0.25">
      <c r="A11" s="6">
        <f>A10+1</f>
        <v>3</v>
      </c>
      <c r="B11" s="12" t="s">
        <v>25</v>
      </c>
      <c r="C11" s="12" t="s">
        <v>26</v>
      </c>
      <c r="D11" s="7" t="s">
        <v>27</v>
      </c>
      <c r="E11" s="13">
        <v>46133</v>
      </c>
      <c r="F11" s="26" t="s">
        <v>28</v>
      </c>
      <c r="G11" s="26" t="s">
        <v>29</v>
      </c>
      <c r="H11" s="26"/>
      <c r="I11" s="37" t="s">
        <v>123</v>
      </c>
      <c r="J11" s="37">
        <v>46147</v>
      </c>
      <c r="K11" s="38" t="s">
        <v>126</v>
      </c>
    </row>
    <row r="12" spans="1:12" s="8" customFormat="1" ht="75" x14ac:dyDescent="0.25">
      <c r="A12" s="6">
        <f>A11+1</f>
        <v>4</v>
      </c>
      <c r="B12" s="12" t="s">
        <v>30</v>
      </c>
      <c r="C12" s="12" t="s">
        <v>32</v>
      </c>
      <c r="D12" s="7" t="s">
        <v>31</v>
      </c>
      <c r="E12" s="13">
        <v>46133</v>
      </c>
      <c r="F12" s="26" t="s">
        <v>12</v>
      </c>
      <c r="G12" s="26" t="s">
        <v>13</v>
      </c>
      <c r="H12" s="26"/>
      <c r="I12" s="37" t="s">
        <v>123</v>
      </c>
      <c r="J12" s="37">
        <v>46147</v>
      </c>
      <c r="K12" s="38" t="s">
        <v>127</v>
      </c>
    </row>
    <row r="13" spans="1:12" s="8" customFormat="1" ht="75" x14ac:dyDescent="0.25">
      <c r="A13" s="6">
        <f>A12+1</f>
        <v>5</v>
      </c>
      <c r="B13" s="12" t="s">
        <v>34</v>
      </c>
      <c r="C13" s="12" t="s">
        <v>33</v>
      </c>
      <c r="D13" s="7" t="s">
        <v>37</v>
      </c>
      <c r="E13" s="13">
        <v>46133</v>
      </c>
      <c r="F13" s="26" t="s">
        <v>35</v>
      </c>
      <c r="G13" s="26" t="s">
        <v>36</v>
      </c>
      <c r="H13" s="26"/>
      <c r="I13" s="37" t="s">
        <v>123</v>
      </c>
      <c r="J13" s="37">
        <v>46147</v>
      </c>
      <c r="K13" s="38" t="s">
        <v>128</v>
      </c>
    </row>
    <row r="14" spans="1:12" s="8" customFormat="1" ht="30" x14ac:dyDescent="0.25">
      <c r="A14" s="6">
        <f>A13+1</f>
        <v>6</v>
      </c>
      <c r="B14" s="12" t="s">
        <v>38</v>
      </c>
      <c r="C14" s="12" t="s">
        <v>39</v>
      </c>
      <c r="D14" s="7" t="s">
        <v>21</v>
      </c>
      <c r="E14" s="13">
        <v>46133</v>
      </c>
      <c r="F14" s="26" t="s">
        <v>12</v>
      </c>
      <c r="G14" s="26" t="s">
        <v>13</v>
      </c>
      <c r="H14" s="26"/>
      <c r="I14" s="37" t="s">
        <v>120</v>
      </c>
      <c r="J14" s="37">
        <v>46141</v>
      </c>
      <c r="K14" s="38" t="s">
        <v>122</v>
      </c>
      <c r="L14" s="35"/>
    </row>
    <row r="15" spans="1:12" s="8" customFormat="1" x14ac:dyDescent="0.25">
      <c r="A15" s="6">
        <f t="shared" ref="A15:A34" si="0">A14+1</f>
        <v>7</v>
      </c>
      <c r="B15" s="12" t="s">
        <v>40</v>
      </c>
      <c r="C15" s="12" t="s">
        <v>41</v>
      </c>
      <c r="D15" s="7" t="s">
        <v>44</v>
      </c>
      <c r="E15" s="13">
        <v>46135</v>
      </c>
      <c r="F15" s="26" t="s">
        <v>42</v>
      </c>
      <c r="G15" s="26" t="s">
        <v>43</v>
      </c>
      <c r="H15" s="26"/>
      <c r="I15" s="37" t="s">
        <v>123</v>
      </c>
      <c r="J15" s="37">
        <v>46147</v>
      </c>
      <c r="K15" s="38" t="s">
        <v>132</v>
      </c>
    </row>
    <row r="16" spans="1:12" s="8" customFormat="1" ht="30" x14ac:dyDescent="0.25">
      <c r="A16" s="6">
        <f t="shared" si="0"/>
        <v>8</v>
      </c>
      <c r="B16" s="12" t="s">
        <v>45</v>
      </c>
      <c r="C16" s="12" t="s">
        <v>46</v>
      </c>
      <c r="D16" s="7" t="s">
        <v>21</v>
      </c>
      <c r="E16" s="13">
        <v>46135</v>
      </c>
      <c r="F16" s="26" t="s">
        <v>12</v>
      </c>
      <c r="G16" s="26" t="s">
        <v>13</v>
      </c>
      <c r="H16" s="26"/>
      <c r="I16" s="37" t="s">
        <v>120</v>
      </c>
      <c r="J16" s="37">
        <v>46141</v>
      </c>
      <c r="K16" s="38" t="s">
        <v>131</v>
      </c>
    </row>
    <row r="17" spans="1:11" s="8" customFormat="1" ht="60" x14ac:dyDescent="0.25">
      <c r="A17" s="6">
        <f t="shared" si="0"/>
        <v>9</v>
      </c>
      <c r="B17" s="12" t="s">
        <v>49</v>
      </c>
      <c r="C17" s="12" t="s">
        <v>53</v>
      </c>
      <c r="D17" s="7" t="s">
        <v>54</v>
      </c>
      <c r="E17" s="13">
        <v>46139</v>
      </c>
      <c r="F17" s="26" t="s">
        <v>47</v>
      </c>
      <c r="G17" s="26" t="s">
        <v>48</v>
      </c>
      <c r="H17" s="26"/>
      <c r="I17" s="37" t="s">
        <v>12</v>
      </c>
      <c r="J17" s="37">
        <v>46135</v>
      </c>
      <c r="K17" s="38" t="s">
        <v>55</v>
      </c>
    </row>
    <row r="18" spans="1:11" s="8" customFormat="1" ht="120" x14ac:dyDescent="0.25">
      <c r="A18" s="6">
        <f t="shared" si="0"/>
        <v>10</v>
      </c>
      <c r="B18" s="12" t="s">
        <v>50</v>
      </c>
      <c r="C18" s="12" t="s">
        <v>58</v>
      </c>
      <c r="D18" s="7" t="s">
        <v>54</v>
      </c>
      <c r="E18" s="13">
        <v>46139</v>
      </c>
      <c r="F18" s="26" t="s">
        <v>47</v>
      </c>
      <c r="G18" s="26" t="s">
        <v>48</v>
      </c>
      <c r="H18" s="26"/>
      <c r="I18" s="37" t="s">
        <v>12</v>
      </c>
      <c r="J18" s="37">
        <v>46135</v>
      </c>
      <c r="K18" s="38" t="s">
        <v>56</v>
      </c>
    </row>
    <row r="19" spans="1:11" s="8" customFormat="1" ht="45" x14ac:dyDescent="0.25">
      <c r="A19" s="6">
        <f t="shared" si="0"/>
        <v>11</v>
      </c>
      <c r="B19" s="12" t="s">
        <v>89</v>
      </c>
      <c r="C19" s="12" t="s">
        <v>57</v>
      </c>
      <c r="D19" s="7" t="s">
        <v>59</v>
      </c>
      <c r="E19" s="13">
        <v>46139</v>
      </c>
      <c r="F19" s="26" t="s">
        <v>47</v>
      </c>
      <c r="G19" s="26" t="s">
        <v>48</v>
      </c>
      <c r="H19" s="26"/>
      <c r="I19" s="37" t="s">
        <v>12</v>
      </c>
      <c r="J19" s="37">
        <v>46135</v>
      </c>
      <c r="K19" s="38" t="s">
        <v>60</v>
      </c>
    </row>
    <row r="20" spans="1:11" s="8" customFormat="1" ht="30" x14ac:dyDescent="0.25">
      <c r="A20" s="6">
        <f t="shared" si="0"/>
        <v>12</v>
      </c>
      <c r="B20" s="12" t="s">
        <v>51</v>
      </c>
      <c r="C20" s="12" t="s">
        <v>61</v>
      </c>
      <c r="D20" s="7" t="s">
        <v>54</v>
      </c>
      <c r="E20" s="13">
        <v>46139</v>
      </c>
      <c r="F20" s="26" t="s">
        <v>47</v>
      </c>
      <c r="G20" s="26" t="s">
        <v>48</v>
      </c>
      <c r="H20" s="26"/>
      <c r="I20" s="37" t="s">
        <v>12</v>
      </c>
      <c r="J20" s="37">
        <v>46135</v>
      </c>
      <c r="K20" s="38" t="s">
        <v>62</v>
      </c>
    </row>
    <row r="21" spans="1:11" s="8" customFormat="1" ht="45" x14ac:dyDescent="0.25">
      <c r="A21" s="6">
        <f t="shared" si="0"/>
        <v>13</v>
      </c>
      <c r="B21" s="12" t="s">
        <v>52</v>
      </c>
      <c r="C21" s="12" t="s">
        <v>63</v>
      </c>
      <c r="D21" s="7" t="s">
        <v>37</v>
      </c>
      <c r="E21" s="13">
        <v>46139</v>
      </c>
      <c r="F21" s="26" t="s">
        <v>47</v>
      </c>
      <c r="G21" s="26" t="s">
        <v>48</v>
      </c>
      <c r="H21" s="26"/>
      <c r="I21" s="37" t="s">
        <v>123</v>
      </c>
      <c r="J21" s="37">
        <v>46147</v>
      </c>
      <c r="K21" s="38" t="s">
        <v>138</v>
      </c>
    </row>
    <row r="22" spans="1:11" s="8" customFormat="1" ht="75" x14ac:dyDescent="0.25">
      <c r="A22" s="6">
        <f t="shared" si="0"/>
        <v>14</v>
      </c>
      <c r="B22" s="12" t="s">
        <v>64</v>
      </c>
      <c r="C22" s="12" t="s">
        <v>65</v>
      </c>
      <c r="D22" s="7" t="s">
        <v>72</v>
      </c>
      <c r="E22" s="13">
        <v>46139</v>
      </c>
      <c r="F22" s="26" t="s">
        <v>66</v>
      </c>
      <c r="G22" s="26" t="s">
        <v>67</v>
      </c>
      <c r="H22" s="26"/>
      <c r="I22" s="37" t="s">
        <v>12</v>
      </c>
      <c r="J22" s="37">
        <v>46135</v>
      </c>
      <c r="K22" s="38" t="s">
        <v>68</v>
      </c>
    </row>
    <row r="23" spans="1:11" s="8" customFormat="1" ht="225" x14ac:dyDescent="0.25">
      <c r="A23" s="6">
        <f t="shared" si="0"/>
        <v>15</v>
      </c>
      <c r="B23" s="12" t="s">
        <v>69</v>
      </c>
      <c r="C23" s="12" t="s">
        <v>70</v>
      </c>
      <c r="D23" s="7" t="s">
        <v>71</v>
      </c>
      <c r="E23" s="13">
        <v>46141</v>
      </c>
      <c r="F23" s="26" t="s">
        <v>66</v>
      </c>
      <c r="G23" s="26" t="s">
        <v>67</v>
      </c>
      <c r="H23" s="26"/>
      <c r="I23" s="37" t="s">
        <v>12</v>
      </c>
      <c r="J23" s="37">
        <v>46141</v>
      </c>
      <c r="K23" s="38" t="s">
        <v>73</v>
      </c>
    </row>
    <row r="24" spans="1:11" s="8" customFormat="1" ht="60" x14ac:dyDescent="0.25">
      <c r="A24" s="6">
        <v>16</v>
      </c>
      <c r="B24" s="12" t="s">
        <v>75</v>
      </c>
      <c r="C24" s="12" t="s">
        <v>76</v>
      </c>
      <c r="D24" s="7" t="s">
        <v>77</v>
      </c>
      <c r="E24" s="13">
        <v>46141</v>
      </c>
      <c r="F24" s="26" t="s">
        <v>78</v>
      </c>
      <c r="G24" s="26" t="s">
        <v>79</v>
      </c>
      <c r="H24" s="26"/>
      <c r="I24" s="37" t="s">
        <v>12</v>
      </c>
      <c r="J24" s="37">
        <v>46141</v>
      </c>
      <c r="K24" s="38" t="s">
        <v>74</v>
      </c>
    </row>
    <row r="25" spans="1:11" s="8" customFormat="1" ht="75" x14ac:dyDescent="0.25">
      <c r="A25" s="6">
        <v>17</v>
      </c>
      <c r="B25" s="12" t="s">
        <v>86</v>
      </c>
      <c r="C25" s="12" t="s">
        <v>82</v>
      </c>
      <c r="D25" s="7" t="s">
        <v>91</v>
      </c>
      <c r="E25" s="13">
        <v>46141</v>
      </c>
      <c r="F25" s="26" t="s">
        <v>81</v>
      </c>
      <c r="G25" s="26" t="s">
        <v>80</v>
      </c>
      <c r="H25" s="26"/>
      <c r="I25" s="37" t="s">
        <v>12</v>
      </c>
      <c r="J25" s="37">
        <v>46141</v>
      </c>
      <c r="K25" s="38" t="s">
        <v>100</v>
      </c>
    </row>
    <row r="26" spans="1:11" s="8" customFormat="1" ht="45" x14ac:dyDescent="0.25">
      <c r="A26" s="6">
        <f t="shared" si="0"/>
        <v>18</v>
      </c>
      <c r="B26" s="12" t="s">
        <v>87</v>
      </c>
      <c r="C26" s="12" t="s">
        <v>83</v>
      </c>
      <c r="D26" s="7" t="s">
        <v>92</v>
      </c>
      <c r="E26" s="13">
        <v>46141</v>
      </c>
      <c r="F26" s="26" t="s">
        <v>81</v>
      </c>
      <c r="G26" s="26" t="s">
        <v>80</v>
      </c>
      <c r="H26" s="26"/>
      <c r="I26" s="37" t="s">
        <v>123</v>
      </c>
      <c r="J26" s="37">
        <v>46147</v>
      </c>
      <c r="K26" s="38" t="s">
        <v>137</v>
      </c>
    </row>
    <row r="27" spans="1:11" ht="30" x14ac:dyDescent="0.25">
      <c r="A27" s="6">
        <f t="shared" si="0"/>
        <v>19</v>
      </c>
      <c r="B27" s="12" t="s">
        <v>88</v>
      </c>
      <c r="C27" s="12" t="s">
        <v>93</v>
      </c>
      <c r="D27" s="7" t="s">
        <v>94</v>
      </c>
      <c r="E27" s="13">
        <v>46141</v>
      </c>
      <c r="F27" s="26" t="s">
        <v>81</v>
      </c>
      <c r="G27" s="26" t="s">
        <v>80</v>
      </c>
      <c r="H27" s="26"/>
      <c r="I27" s="37" t="s">
        <v>123</v>
      </c>
      <c r="J27" s="37">
        <v>46147</v>
      </c>
      <c r="K27" s="38" t="s">
        <v>136</v>
      </c>
    </row>
    <row r="28" spans="1:11" ht="60" x14ac:dyDescent="0.25">
      <c r="A28" s="6">
        <f t="shared" si="0"/>
        <v>20</v>
      </c>
      <c r="B28" s="12" t="s">
        <v>96</v>
      </c>
      <c r="C28" s="12" t="s">
        <v>84</v>
      </c>
      <c r="D28" s="7" t="s">
        <v>95</v>
      </c>
      <c r="E28" s="13">
        <v>46141</v>
      </c>
      <c r="F28" s="26" t="s">
        <v>81</v>
      </c>
      <c r="G28" s="26" t="s">
        <v>80</v>
      </c>
      <c r="H28" s="26"/>
      <c r="I28" s="37" t="s">
        <v>12</v>
      </c>
      <c r="J28" s="37">
        <v>46141</v>
      </c>
      <c r="K28" s="38" t="s">
        <v>99</v>
      </c>
    </row>
    <row r="29" spans="1:11" ht="30" x14ac:dyDescent="0.25">
      <c r="A29" s="6">
        <f t="shared" si="0"/>
        <v>21</v>
      </c>
      <c r="B29" s="12" t="s">
        <v>97</v>
      </c>
      <c r="C29" s="12" t="s">
        <v>85</v>
      </c>
      <c r="D29" s="7" t="s">
        <v>95</v>
      </c>
      <c r="E29" s="13">
        <v>46141</v>
      </c>
      <c r="F29" s="26" t="s">
        <v>81</v>
      </c>
      <c r="G29" s="26" t="s">
        <v>80</v>
      </c>
      <c r="H29" s="26"/>
      <c r="I29" s="37" t="s">
        <v>12</v>
      </c>
      <c r="J29" s="37">
        <v>46141</v>
      </c>
      <c r="K29" s="38" t="s">
        <v>98</v>
      </c>
    </row>
    <row r="30" spans="1:11" ht="105" x14ac:dyDescent="0.25">
      <c r="A30" s="6">
        <f t="shared" si="0"/>
        <v>22</v>
      </c>
      <c r="B30" s="12" t="s">
        <v>90</v>
      </c>
      <c r="C30" s="12" t="s">
        <v>125</v>
      </c>
      <c r="D30" s="7" t="s">
        <v>112</v>
      </c>
      <c r="E30" s="13">
        <v>46141</v>
      </c>
      <c r="F30" s="26" t="s">
        <v>81</v>
      </c>
      <c r="G30" s="26" t="s">
        <v>80</v>
      </c>
      <c r="H30" s="26"/>
      <c r="I30" s="37" t="s">
        <v>123</v>
      </c>
      <c r="J30" s="37">
        <v>46147</v>
      </c>
      <c r="K30" s="38" t="s">
        <v>130</v>
      </c>
    </row>
    <row r="31" spans="1:11" ht="60" x14ac:dyDescent="0.25">
      <c r="A31" s="6">
        <f t="shared" si="0"/>
        <v>23</v>
      </c>
      <c r="B31" s="12" t="s">
        <v>104</v>
      </c>
      <c r="C31" s="12" t="s">
        <v>101</v>
      </c>
      <c r="D31" s="7" t="s">
        <v>114</v>
      </c>
      <c r="E31" s="13">
        <v>46141</v>
      </c>
      <c r="F31" s="26" t="s">
        <v>102</v>
      </c>
      <c r="G31" s="26" t="s">
        <v>103</v>
      </c>
      <c r="H31" s="26"/>
      <c r="I31" s="37" t="s">
        <v>123</v>
      </c>
      <c r="J31" s="37">
        <v>46147</v>
      </c>
      <c r="K31" s="38" t="s">
        <v>133</v>
      </c>
    </row>
    <row r="32" spans="1:11" ht="120" x14ac:dyDescent="0.25">
      <c r="A32" s="6">
        <f t="shared" si="0"/>
        <v>24</v>
      </c>
      <c r="B32" s="12" t="s">
        <v>116</v>
      </c>
      <c r="C32" s="12" t="s">
        <v>115</v>
      </c>
      <c r="D32" s="7" t="s">
        <v>113</v>
      </c>
      <c r="E32" s="13">
        <v>46141</v>
      </c>
      <c r="F32" s="26" t="s">
        <v>105</v>
      </c>
      <c r="G32" s="26" t="s">
        <v>106</v>
      </c>
      <c r="H32" s="26"/>
      <c r="I32" s="37" t="s">
        <v>124</v>
      </c>
      <c r="J32" s="37">
        <v>46142</v>
      </c>
      <c r="K32" s="38" t="s">
        <v>129</v>
      </c>
    </row>
    <row r="33" spans="1:11" ht="105" x14ac:dyDescent="0.25">
      <c r="A33" s="6">
        <f t="shared" si="0"/>
        <v>25</v>
      </c>
      <c r="B33" s="12" t="s">
        <v>117</v>
      </c>
      <c r="C33" s="12" t="s">
        <v>119</v>
      </c>
      <c r="D33" s="7" t="s">
        <v>109</v>
      </c>
      <c r="E33" s="13">
        <v>46141</v>
      </c>
      <c r="F33" s="26" t="s">
        <v>107</v>
      </c>
      <c r="G33" s="26" t="s">
        <v>108</v>
      </c>
      <c r="H33" s="26"/>
      <c r="I33" s="37" t="s">
        <v>123</v>
      </c>
      <c r="J33" s="37">
        <v>46147</v>
      </c>
      <c r="K33" s="38" t="s">
        <v>134</v>
      </c>
    </row>
    <row r="34" spans="1:11" ht="126.75" customHeight="1" x14ac:dyDescent="0.25">
      <c r="A34" s="6">
        <f t="shared" si="0"/>
        <v>26</v>
      </c>
      <c r="B34" s="12" t="s">
        <v>118</v>
      </c>
      <c r="C34" s="12" t="s">
        <v>110</v>
      </c>
      <c r="D34" s="7" t="s">
        <v>111</v>
      </c>
      <c r="E34" s="13">
        <v>46141</v>
      </c>
      <c r="F34" s="26" t="s">
        <v>107</v>
      </c>
      <c r="G34" s="26" t="s">
        <v>108</v>
      </c>
      <c r="H34" s="26"/>
      <c r="I34" s="37" t="s">
        <v>123</v>
      </c>
      <c r="J34" s="37">
        <v>46147</v>
      </c>
      <c r="K34" s="38" t="s">
        <v>135</v>
      </c>
    </row>
    <row r="35" spans="1:11" ht="6" customHeight="1" x14ac:dyDescent="0.25">
      <c r="A35" s="28"/>
      <c r="B35" s="29"/>
      <c r="C35" s="29"/>
      <c r="D35" s="30"/>
      <c r="E35" s="31"/>
      <c r="F35" s="31"/>
      <c r="G35" s="31"/>
      <c r="H35" s="31"/>
      <c r="I35" s="31"/>
      <c r="J35" s="31"/>
      <c r="K35" s="31"/>
    </row>
    <row r="36" spans="1:11" x14ac:dyDescent="0.25">
      <c r="A36" s="6">
        <f>A34+1</f>
        <v>27</v>
      </c>
      <c r="B36" s="12"/>
      <c r="C36" s="12"/>
      <c r="D36" s="7"/>
      <c r="E36" s="13"/>
      <c r="F36" s="26"/>
      <c r="G36" s="26"/>
      <c r="H36" s="26"/>
      <c r="I36" s="13"/>
      <c r="J36" s="13"/>
      <c r="K36" s="34"/>
    </row>
    <row r="37" spans="1:11" x14ac:dyDescent="0.25">
      <c r="A37" s="6">
        <f t="shared" ref="A37:A49" si="1">A36+1</f>
        <v>28</v>
      </c>
      <c r="B37" s="12"/>
      <c r="C37" s="12"/>
      <c r="D37" s="7"/>
      <c r="E37" s="13"/>
      <c r="F37" s="26"/>
      <c r="G37" s="26"/>
      <c r="H37" s="26"/>
      <c r="I37" s="13"/>
      <c r="J37" s="13"/>
      <c r="K37" s="34"/>
    </row>
    <row r="38" spans="1:11" x14ac:dyDescent="0.25">
      <c r="A38" s="6">
        <f t="shared" si="1"/>
        <v>29</v>
      </c>
      <c r="B38" s="12"/>
      <c r="C38" s="12"/>
      <c r="D38" s="7"/>
      <c r="E38" s="13"/>
      <c r="F38" s="26"/>
      <c r="G38" s="26"/>
      <c r="H38" s="26"/>
      <c r="I38" s="13"/>
      <c r="J38" s="13"/>
      <c r="K38" s="34"/>
    </row>
    <row r="39" spans="1:11" x14ac:dyDescent="0.25">
      <c r="A39" s="6">
        <f t="shared" si="1"/>
        <v>30</v>
      </c>
      <c r="B39" s="12"/>
      <c r="C39" s="12"/>
      <c r="D39" s="7"/>
      <c r="E39" s="13"/>
      <c r="F39" s="26"/>
      <c r="G39" s="26"/>
      <c r="H39" s="26"/>
      <c r="I39" s="13"/>
      <c r="J39" s="13"/>
      <c r="K39" s="34"/>
    </row>
    <row r="40" spans="1:11" x14ac:dyDescent="0.25">
      <c r="A40" s="6">
        <f t="shared" si="1"/>
        <v>31</v>
      </c>
      <c r="B40" s="12"/>
      <c r="C40" s="12"/>
      <c r="D40" s="7"/>
      <c r="E40" s="13"/>
      <c r="F40" s="26"/>
      <c r="G40" s="26"/>
      <c r="H40" s="26"/>
      <c r="I40" s="13"/>
      <c r="J40" s="13"/>
      <c r="K40" s="34"/>
    </row>
    <row r="41" spans="1:11" x14ac:dyDescent="0.25">
      <c r="A41" s="6">
        <f t="shared" si="1"/>
        <v>32</v>
      </c>
      <c r="B41" s="12"/>
      <c r="C41" s="12"/>
      <c r="D41" s="7"/>
      <c r="E41" s="13"/>
      <c r="F41" s="26"/>
      <c r="G41" s="26"/>
      <c r="H41" s="26"/>
      <c r="I41" s="13"/>
      <c r="J41" s="13"/>
      <c r="K41" s="34"/>
    </row>
    <row r="42" spans="1:11" x14ac:dyDescent="0.25">
      <c r="A42" s="6">
        <f t="shared" si="1"/>
        <v>33</v>
      </c>
      <c r="B42" s="12"/>
      <c r="C42" s="12"/>
      <c r="D42" s="7"/>
      <c r="E42" s="13"/>
      <c r="F42" s="26"/>
      <c r="G42" s="26"/>
      <c r="H42" s="26"/>
      <c r="I42" s="13"/>
      <c r="J42" s="13"/>
      <c r="K42" s="34"/>
    </row>
    <row r="43" spans="1:11" x14ac:dyDescent="0.25">
      <c r="A43" s="6">
        <f t="shared" si="1"/>
        <v>34</v>
      </c>
      <c r="B43" s="12"/>
      <c r="C43" s="12"/>
      <c r="D43" s="7"/>
      <c r="E43" s="13"/>
      <c r="F43" s="26"/>
      <c r="G43" s="26"/>
      <c r="H43" s="26"/>
      <c r="I43" s="13"/>
      <c r="J43" s="13"/>
      <c r="K43" s="34"/>
    </row>
    <row r="44" spans="1:11" x14ac:dyDescent="0.25">
      <c r="A44" s="6">
        <f t="shared" si="1"/>
        <v>35</v>
      </c>
      <c r="B44" s="12"/>
      <c r="C44" s="12"/>
      <c r="D44" s="7"/>
      <c r="E44" s="13"/>
      <c r="F44" s="26"/>
      <c r="G44" s="26"/>
      <c r="H44" s="26"/>
      <c r="I44" s="33"/>
      <c r="J44" s="13"/>
      <c r="K44" s="34"/>
    </row>
    <row r="45" spans="1:11" x14ac:dyDescent="0.25">
      <c r="A45" s="6">
        <f t="shared" si="1"/>
        <v>36</v>
      </c>
      <c r="B45" s="12"/>
      <c r="C45" s="12"/>
      <c r="D45" s="7"/>
      <c r="E45" s="13"/>
      <c r="F45" s="26"/>
      <c r="G45" s="26"/>
      <c r="H45" s="26"/>
      <c r="I45" s="13"/>
      <c r="J45" s="13"/>
      <c r="K45" s="34"/>
    </row>
    <row r="46" spans="1:11" x14ac:dyDescent="0.25">
      <c r="A46" s="6">
        <f t="shared" si="1"/>
        <v>37</v>
      </c>
      <c r="B46" s="12"/>
      <c r="C46" s="12"/>
      <c r="D46" s="7"/>
      <c r="E46" s="13"/>
      <c r="F46" s="26"/>
      <c r="G46" s="26"/>
      <c r="H46" s="26"/>
      <c r="I46" s="13"/>
      <c r="J46" s="13"/>
      <c r="K46" s="34"/>
    </row>
    <row r="47" spans="1:11" x14ac:dyDescent="0.25">
      <c r="A47" s="6">
        <f t="shared" si="1"/>
        <v>38</v>
      </c>
      <c r="B47" s="12"/>
      <c r="C47" s="12"/>
      <c r="D47" s="7"/>
      <c r="E47" s="13"/>
      <c r="F47" s="26"/>
      <c r="G47" s="26"/>
      <c r="H47" s="26"/>
      <c r="I47" s="13"/>
      <c r="J47" s="13"/>
      <c r="K47" s="34"/>
    </row>
    <row r="48" spans="1:11" x14ac:dyDescent="0.25">
      <c r="A48" s="6">
        <f t="shared" si="1"/>
        <v>39</v>
      </c>
      <c r="B48" s="12"/>
      <c r="C48" s="12"/>
      <c r="D48" s="7"/>
      <c r="E48" s="13"/>
      <c r="F48" s="26"/>
      <c r="G48" s="26"/>
      <c r="H48" s="26"/>
      <c r="I48" s="13"/>
      <c r="J48" s="13"/>
      <c r="K48" s="34"/>
    </row>
    <row r="49" spans="1:11" x14ac:dyDescent="0.25">
      <c r="A49" s="6">
        <f t="shared" si="1"/>
        <v>40</v>
      </c>
      <c r="B49" s="12"/>
      <c r="C49" s="12"/>
      <c r="D49" s="7"/>
      <c r="E49" s="13"/>
      <c r="F49" s="26"/>
      <c r="G49" s="26"/>
      <c r="H49" s="26"/>
      <c r="I49" s="13"/>
      <c r="J49" s="13"/>
      <c r="K49" s="34"/>
    </row>
  </sheetData>
  <mergeCells count="1">
    <mergeCell ref="F2:H6"/>
  </mergeCells>
  <phoneticPr fontId="10" type="noConversion"/>
  <printOptions horizontalCentered="1"/>
  <pageMargins left="0.35" right="0.28999999999999998" top="0.35" bottom="0.35" header="0.25" footer="0.23"/>
  <pageSetup scale="55" fitToHeight="0" orientation="landscape" r:id="rId1"/>
  <headerFooter>
    <oddFooter>&amp;L&amp;D   &amp;T&amp;RPage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82A34A59296145B638CD34FCFFF6EB" ma:contentTypeVersion="4" ma:contentTypeDescription="Create a new document." ma:contentTypeScope="" ma:versionID="2bdf0a86555d53daf6d4bed4115b8c0e">
  <xsd:schema xmlns:xsd="http://www.w3.org/2001/XMLSchema" xmlns:xs="http://www.w3.org/2001/XMLSchema" xmlns:p="http://schemas.microsoft.com/office/2006/metadata/properties" xmlns:ns2="a0c06e9c-97a4-42c3-882f-e1d38ddd3f28" xmlns:ns3="4f153146-8b6f-4cc4-9959-91c3b2d6560d" targetNamespace="http://schemas.microsoft.com/office/2006/metadata/properties" ma:root="true" ma:fieldsID="ca8e7ea03b17b3f11ba176ef1c2100d7" ns2:_="" ns3:_="">
    <xsd:import namespace="a0c06e9c-97a4-42c3-882f-e1d38ddd3f28"/>
    <xsd:import namespace="4f153146-8b6f-4cc4-9959-91c3b2d6560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c06e9c-97a4-42c3-882f-e1d38ddd3f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153146-8b6f-4cc4-9959-91c3b2d6560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6FD40E-EA85-465B-B192-D1D2D21BE904}">
  <ds:schemaRefs>
    <ds:schemaRef ds:uri="http://schemas.microsoft.com/office/2006/metadata/properties"/>
    <ds:schemaRef ds:uri="a0c06e9c-97a4-42c3-882f-e1d38ddd3f28"/>
    <ds:schemaRef ds:uri="http://purl.org/dc/terms/"/>
    <ds:schemaRef ds:uri="http://www.w3.org/XML/1998/namespac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4f153146-8b6f-4cc4-9959-91c3b2d6560d"/>
    <ds:schemaRef ds:uri="http://purl.org/dc/dcmitype/"/>
  </ds:schemaRefs>
</ds:datastoreItem>
</file>

<file path=customXml/itemProps2.xml><?xml version="1.0" encoding="utf-8"?>
<ds:datastoreItem xmlns:ds="http://schemas.openxmlformats.org/officeDocument/2006/customXml" ds:itemID="{7A0F17C3-DC51-421B-9247-726BF969F16C}">
  <ds:schemaRefs>
    <ds:schemaRef ds:uri="http://schemas.microsoft.com/sharepoint/v3/contenttype/forms"/>
  </ds:schemaRefs>
</ds:datastoreItem>
</file>

<file path=customXml/itemProps3.xml><?xml version="1.0" encoding="utf-8"?>
<ds:datastoreItem xmlns:ds="http://schemas.openxmlformats.org/officeDocument/2006/customXml" ds:itemID="{86ECD82A-A558-4CBC-BBE3-11A21EB8B0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c06e9c-97a4-42c3-882f-e1d38ddd3f28"/>
    <ds:schemaRef ds:uri="4f153146-8b6f-4cc4-9959-91c3b2d656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Sheet1</vt:lpstr>
      <vt:lpstr>Sheet1!_GoBack</vt:lpstr>
      <vt:lpstr>Sheet1!Print_Area</vt:lpstr>
      <vt:lpstr>Sheet1!Print_Titles</vt:lpstr>
    </vt:vector>
  </TitlesOfParts>
  <Manager/>
  <Company>CORE Construction Group,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Dawn Duranleau</dc:creator>
  <cp:keywords/>
  <dc:description/>
  <cp:lastModifiedBy>Dawn Duranleau</cp:lastModifiedBy>
  <cp:revision/>
  <cp:lastPrinted>2026-05-07T01:22:02Z</cp:lastPrinted>
  <dcterms:created xsi:type="dcterms:W3CDTF">2015-10-19T17:37:49Z</dcterms:created>
  <dcterms:modified xsi:type="dcterms:W3CDTF">2026-05-07T01:23:14Z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0x0101008D82A34A59296145B638CD34FCFFF6EB</vt:lpwstr>
  </property>
</Properties>
</file>