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econ\NV\2025 Projects\25-10-003 - NCSD - Tonopah HS Sports Field Phs'd Replacement\14.0 - GMP Docs\01 Backsheet\02 - OPS GC's &amp; GR's\"/>
    </mc:Choice>
  </mc:AlternateContent>
  <xr:revisionPtr revIDLastSave="0" documentId="8_{AA82A299-9B08-470C-8761-563E63452024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GC's" sheetId="4" r:id="rId1"/>
    <sheet name="GR's" sheetId="6" r:id="rId2"/>
    <sheet name="Monthly GC's" sheetId="5" r:id="rId3"/>
  </sheets>
  <externalReferences>
    <externalReference r:id="rId4"/>
  </externalReferences>
  <definedNames>
    <definedName name="\p" localSheetId="1">#REF!</definedName>
    <definedName name="\p">#REF!</definedName>
    <definedName name="AlternateSubSelector" localSheetId="1">#REF!</definedName>
    <definedName name="AlternateSubSelector">'[1]background lists'!$D$2:$D$3</definedName>
    <definedName name="bbbb" localSheetId="1">#REF!</definedName>
    <definedName name="bbbb">#REF!</definedName>
    <definedName name="BID">#REF!</definedName>
    <definedName name="cccc" localSheetId="1">#REF!</definedName>
    <definedName name="cccc">#REF!</definedName>
    <definedName name="CIPConc_Material" localSheetId="1">#REF!</definedName>
    <definedName name="CIPConc_Material">#REF!</definedName>
    <definedName name="CIPConcrete_Labor" localSheetId="1">#REF!</definedName>
    <definedName name="CIPConcrete_Labor">#REF!</definedName>
    <definedName name="CIPConcrete_Sub" localSheetId="1">#REF!</definedName>
    <definedName name="CIPConcrete_Sub">#REF!</definedName>
    <definedName name="cmu" localSheetId="1">#REF!</definedName>
    <definedName name="cmu">#REF!</definedName>
    <definedName name="CompanyList" localSheetId="1">#REF!</definedName>
    <definedName name="CompanyList">#REF!</definedName>
    <definedName name="CompanyName" localSheetId="1">#REF!</definedName>
    <definedName name="CompanyName">#REF!</definedName>
    <definedName name="_xlnm.Criteria">#REF!</definedName>
    <definedName name="_xlnm.Database" localSheetId="1">#REF!</definedName>
    <definedName name="_xlnm.Database">#REF!</definedName>
    <definedName name="DRYWALL" localSheetId="1">#REF!</definedName>
    <definedName name="DRYWALL">#REF!</definedName>
    <definedName name="Earthwork_Labor" localSheetId="1">#REF!</definedName>
    <definedName name="Earthwork_Labor">#REF!</definedName>
    <definedName name="Earthwork_Material">#REF!</definedName>
    <definedName name="Earthwork_Sub">#REF!</definedName>
    <definedName name="ELECT">#REF!</definedName>
    <definedName name="Formwork_Labor">#REF!</definedName>
    <definedName name="Formwork_Material">#REF!</definedName>
    <definedName name="Formwork_Sub">#REF!</definedName>
    <definedName name="FRAME">#REF!</definedName>
    <definedName name="GCTotal" localSheetId="1">'GR''s'!#REF!</definedName>
    <definedName name="GCTotal">'[1]GC''s'!$H$140</definedName>
    <definedName name="ItemCheckList" localSheetId="1">#REF!</definedName>
    <definedName name="ItemCheckList">'[1]background lists'!$B$2:$B$6</definedName>
    <definedName name="Numbers" localSheetId="1">#REF!</definedName>
    <definedName name="Numbers">'[1]background lists'!$F$2:$F$115</definedName>
    <definedName name="PhaseCodes" localSheetId="1">#REF!</definedName>
    <definedName name="PhaseCodes">'[1]background lists'!$J$3:$J$365</definedName>
    <definedName name="Phases" localSheetId="1">#REF!</definedName>
    <definedName name="Phases">'[1]background lists'!$J$3:$J$9365</definedName>
    <definedName name="PLASTER" localSheetId="1">#REF!</definedName>
    <definedName name="PLASTER">#REF!</definedName>
    <definedName name="_xlnm.Print_Area" localSheetId="0">'GC''s'!$A$1:$P$53</definedName>
    <definedName name="_xlnm.Print_Area" localSheetId="1">'GR''s'!$A$1:$E$130</definedName>
    <definedName name="_xlnm.Print_Area" localSheetId="2">'Monthly GC''s'!$A$1:$M$43</definedName>
    <definedName name="_xlnm.Print_Area">#REF!</definedName>
    <definedName name="PRINT_AREA_MI" localSheetId="1">#REF!</definedName>
    <definedName name="PRINT_AREA_MI">#REF!</definedName>
    <definedName name="_xlnm.Print_Titles" localSheetId="1">'GR''s'!$9:$9</definedName>
    <definedName name="ProjectSublist" localSheetId="1">#REF!</definedName>
    <definedName name="ProjectSublist">#REF!</definedName>
    <definedName name="Reinforcing_Labor" localSheetId="1">#REF!</definedName>
    <definedName name="Reinforcing_Labor">#REF!</definedName>
    <definedName name="Reinforcing_Material" localSheetId="1">#REF!</definedName>
    <definedName name="Reinforcing_Material">#REF!</definedName>
    <definedName name="Reinforcing_Sub">#REF!</definedName>
    <definedName name="selectyesno" localSheetId="1">#REF!</definedName>
    <definedName name="selectyesno">'[1]background lists'!$G$2:$G$3</definedName>
    <definedName name="SevenGroups01SiteworkRoughSublist" localSheetId="1">#REF!</definedName>
    <definedName name="SevenGroups01SiteworkRoughSublist">#REF!</definedName>
    <definedName name="SevenGroups02SiteworkFinishSublist" localSheetId="1">#REF!</definedName>
    <definedName name="SevenGroups02SiteworkFinishSublist">#REF!</definedName>
    <definedName name="SevenGroups03StructureSublist" localSheetId="1">#REF!</definedName>
    <definedName name="SevenGroups03StructureSublist">#REF!</definedName>
    <definedName name="SevenGroups04EnclosureSublist">#REF!</definedName>
    <definedName name="SevenGroups05FinishSublist">#REF!</definedName>
    <definedName name="SevenGroups06SpecialtiesSublist">#REF!</definedName>
    <definedName name="SevenGroups07SystemsSublist">#REF!</definedName>
    <definedName name="sf">#REF!</definedName>
    <definedName name="SheetExcuses" localSheetId="1">#REF!</definedName>
    <definedName name="SheetExcuses">'[1]background lists'!$E$2:$E$12</definedName>
    <definedName name="SPEC" localSheetId="1">#REF!</definedName>
    <definedName name="SPEC">#REF!</definedName>
    <definedName name="STEEL" localSheetId="1">#REF!</definedName>
    <definedName name="STEEL">#REF!</definedName>
    <definedName name="SubCompanyName" localSheetId="1">#REF!</definedName>
    <definedName name="SubCompanyName">#REF!</definedName>
    <definedName name="TiltUp_Labor" localSheetId="1">#REF!</definedName>
    <definedName name="TiltUp_Labor">#REF!</definedName>
    <definedName name="TiltUp_Material" localSheetId="1">#REF!</definedName>
    <definedName name="TiltUp_Material">#REF!</definedName>
    <definedName name="TiltUp_Sub" localSheetId="1">#REF!</definedName>
    <definedName name="TiltUp_Sub">#REF!</definedName>
    <definedName name="wORK">#REF!</definedName>
    <definedName name="x">#REF!</definedName>
    <definedName name="xhghghghg">#REF!</definedName>
    <definedName name="xx">#REF!</definedName>
    <definedName name="xxx">#REF!</definedName>
    <definedName name="xxxx">#REF!</definedName>
    <definedName name="x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6" l="1"/>
  <c r="B138" i="6"/>
  <c r="B142" i="6"/>
  <c r="B137" i="6"/>
  <c r="B133" i="6"/>
  <c r="B134" i="6"/>
  <c r="B109" i="6"/>
  <c r="B101" i="6"/>
  <c r="D90" i="6"/>
  <c r="D89" i="6"/>
  <c r="D64" i="6"/>
  <c r="D67" i="6"/>
  <c r="D66" i="6"/>
  <c r="B67" i="6"/>
  <c r="B54" i="6"/>
  <c r="E61" i="6"/>
  <c r="D57" i="6"/>
  <c r="B60" i="6"/>
  <c r="B59" i="6"/>
  <c r="B53" i="6"/>
  <c r="D25" i="6" l="1"/>
  <c r="E147" i="6"/>
  <c r="E145" i="6"/>
  <c r="E143" i="6"/>
  <c r="E142" i="6"/>
  <c r="E141" i="6"/>
  <c r="E140" i="6"/>
  <c r="E138" i="6"/>
  <c r="E137" i="6"/>
  <c r="E134" i="6"/>
  <c r="E133" i="6"/>
  <c r="B132" i="6"/>
  <c r="E132" i="6" s="1"/>
  <c r="E128" i="6"/>
  <c r="B127" i="6"/>
  <c r="E127" i="6" s="1"/>
  <c r="E125" i="6"/>
  <c r="E122" i="6"/>
  <c r="E121" i="6"/>
  <c r="E117" i="6"/>
  <c r="E114" i="6"/>
  <c r="E112" i="6"/>
  <c r="E111" i="6"/>
  <c r="E110" i="6"/>
  <c r="E109" i="6"/>
  <c r="E103" i="6"/>
  <c r="E102" i="6"/>
  <c r="E101" i="6"/>
  <c r="E97" i="6"/>
  <c r="E96" i="6"/>
  <c r="E95" i="6"/>
  <c r="E94" i="6"/>
  <c r="E92" i="6"/>
  <c r="E91" i="6"/>
  <c r="E88" i="6"/>
  <c r="E87" i="6"/>
  <c r="D86" i="6"/>
  <c r="E85" i="6"/>
  <c r="E84" i="6"/>
  <c r="B83" i="6"/>
  <c r="E83" i="6" s="1"/>
  <c r="D82" i="6"/>
  <c r="E82" i="6" s="1"/>
  <c r="B81" i="6"/>
  <c r="E81" i="6" s="1"/>
  <c r="E80" i="6"/>
  <c r="E79" i="6"/>
  <c r="E78" i="6"/>
  <c r="E67" i="6"/>
  <c r="B66" i="6"/>
  <c r="E65" i="6"/>
  <c r="E64" i="6"/>
  <c r="E60" i="6"/>
  <c r="E59" i="6"/>
  <c r="E58" i="6"/>
  <c r="E57" i="6"/>
  <c r="E53" i="6"/>
  <c r="E52" i="6"/>
  <c r="D48" i="6"/>
  <c r="D47" i="6"/>
  <c r="E46" i="6"/>
  <c r="D43" i="6"/>
  <c r="D42" i="6"/>
  <c r="E41" i="6"/>
  <c r="E36" i="6"/>
  <c r="E35" i="6"/>
  <c r="E34" i="6"/>
  <c r="E27" i="6"/>
  <c r="E26" i="6"/>
  <c r="E24" i="6"/>
  <c r="E23" i="6"/>
  <c r="E21" i="6"/>
  <c r="B18" i="6"/>
  <c r="E18" i="6" s="1"/>
  <c r="B17" i="6"/>
  <c r="E17" i="6" s="1"/>
  <c r="B16" i="6"/>
  <c r="E16" i="6" s="1"/>
  <c r="E15" i="6"/>
  <c r="E13" i="6"/>
  <c r="E12" i="6"/>
  <c r="E119" i="6" l="1"/>
  <c r="E66" i="6"/>
  <c r="E135" i="6"/>
  <c r="E139" i="6"/>
  <c r="E131" i="6"/>
  <c r="E54" i="6"/>
  <c r="D129" i="6"/>
  <c r="E129" i="6" s="1"/>
  <c r="E126" i="6" l="1"/>
  <c r="J43" i="4" l="1"/>
  <c r="L43" i="4" s="1"/>
  <c r="M43" i="4" s="1"/>
  <c r="O43" i="4" s="1"/>
  <c r="M41" i="4"/>
  <c r="O41" i="4" s="1"/>
  <c r="E59" i="4"/>
  <c r="M52" i="4"/>
  <c r="O52" i="4" s="1"/>
  <c r="J51" i="4"/>
  <c r="L51" i="4" s="1"/>
  <c r="M51" i="4" s="1"/>
  <c r="O51" i="4" s="1"/>
  <c r="J50" i="4"/>
  <c r="L50" i="4" s="1"/>
  <c r="M50" i="4" s="1"/>
  <c r="O50" i="4" s="1"/>
  <c r="J49" i="4"/>
  <c r="L49" i="4" s="1"/>
  <c r="M49" i="4" s="1"/>
  <c r="O49" i="4" s="1"/>
  <c r="J48" i="4"/>
  <c r="L48" i="4" s="1"/>
  <c r="M48" i="4" s="1"/>
  <c r="O48" i="4" s="1"/>
  <c r="J47" i="4"/>
  <c r="L47" i="4" s="1"/>
  <c r="M47" i="4" s="1"/>
  <c r="O47" i="4" s="1"/>
  <c r="J46" i="4"/>
  <c r="L46" i="4" s="1"/>
  <c r="M46" i="4" s="1"/>
  <c r="O46" i="4" s="1"/>
  <c r="J45" i="4"/>
  <c r="L45" i="4" s="1"/>
  <c r="M45" i="4" s="1"/>
  <c r="O45" i="4" s="1"/>
  <c r="J44" i="4"/>
  <c r="L44" i="4" s="1"/>
  <c r="M44" i="4" s="1"/>
  <c r="O44" i="4" s="1"/>
  <c r="J42" i="4"/>
  <c r="L42" i="4" s="1"/>
  <c r="M42" i="4" s="1"/>
  <c r="O42" i="4" s="1"/>
  <c r="I40" i="4"/>
  <c r="L40" i="4" s="1"/>
  <c r="M40" i="4" s="1"/>
  <c r="O40" i="4" s="1"/>
  <c r="I39" i="4"/>
  <c r="L39" i="4" s="1"/>
  <c r="M39" i="4" s="1"/>
  <c r="O39" i="4" s="1"/>
  <c r="I38" i="4"/>
  <c r="L38" i="4" s="1"/>
  <c r="M38" i="4" s="1"/>
  <c r="O38" i="4" s="1"/>
  <c r="J37" i="4"/>
  <c r="L37" i="4" s="1"/>
  <c r="M37" i="4" s="1"/>
  <c r="O37" i="4" s="1"/>
  <c r="J36" i="4"/>
  <c r="L36" i="4" s="1"/>
  <c r="K53" i="4"/>
  <c r="K59" i="4" s="1"/>
  <c r="E53" i="4"/>
  <c r="M36" i="4" l="1"/>
  <c r="M59" i="4" l="1"/>
  <c r="O36" i="4"/>
  <c r="O59" i="4" s="1"/>
  <c r="J20" i="4" l="1"/>
  <c r="L20" i="4" s="1"/>
  <c r="M20" i="4" s="1"/>
  <c r="C12" i="4"/>
  <c r="J18" i="4"/>
  <c r="C30" i="4"/>
  <c r="C29" i="4"/>
  <c r="C28" i="4"/>
  <c r="C27" i="4"/>
  <c r="C26" i="4"/>
  <c r="C24" i="4"/>
  <c r="C23" i="4"/>
  <c r="C22" i="4"/>
  <c r="C21" i="4"/>
  <c r="C19" i="4"/>
  <c r="C17" i="4"/>
  <c r="C16" i="4"/>
  <c r="C15" i="4"/>
  <c r="C13" i="4"/>
  <c r="C11" i="4"/>
  <c r="C10" i="4"/>
  <c r="C9" i="4"/>
  <c r="C8" i="4"/>
  <c r="O20" i="4" l="1"/>
  <c r="L18" i="4"/>
  <c r="M18" i="4" s="1"/>
  <c r="F18" i="4" s="1"/>
  <c r="O18" i="4" l="1"/>
  <c r="J14" i="4"/>
  <c r="L14" i="4" s="1"/>
  <c r="J13" i="4"/>
  <c r="J6" i="4"/>
  <c r="J7" i="4"/>
  <c r="J8" i="4"/>
  <c r="J12" i="4"/>
  <c r="L12" i="4" s="1"/>
  <c r="M12" i="4" s="1"/>
  <c r="F12" i="4" s="1"/>
  <c r="J16" i="4"/>
  <c r="L16" i="4" s="1"/>
  <c r="M16" i="4" s="1"/>
  <c r="F16" i="4" s="1"/>
  <c r="J15" i="4"/>
  <c r="L15" i="4" s="1"/>
  <c r="M15" i="4" s="1"/>
  <c r="F15" i="4" s="1"/>
  <c r="J22" i="4"/>
  <c r="L22" i="4" s="1"/>
  <c r="M22" i="4" s="1"/>
  <c r="J26" i="4"/>
  <c r="L26" i="4" s="1"/>
  <c r="M26" i="4" s="1"/>
  <c r="F26" i="4" s="1"/>
  <c r="M5" i="4"/>
  <c r="J25" i="4"/>
  <c r="L25" i="4" s="1"/>
  <c r="M25" i="4" s="1"/>
  <c r="F25" i="4" s="1"/>
  <c r="J29" i="4"/>
  <c r="J24" i="4"/>
  <c r="L24" i="4" s="1"/>
  <c r="M24" i="4" s="1"/>
  <c r="F24" i="4" s="1"/>
  <c r="I16" i="5"/>
  <c r="I24" i="5"/>
  <c r="I25" i="5"/>
  <c r="J25" i="5" s="1"/>
  <c r="L25" i="5" s="1"/>
  <c r="I26" i="5"/>
  <c r="J26" i="5" s="1"/>
  <c r="L26" i="5" s="1"/>
  <c r="I27" i="5"/>
  <c r="J27" i="5" s="1"/>
  <c r="L27" i="5" s="1"/>
  <c r="I28" i="5"/>
  <c r="J28" i="5" s="1"/>
  <c r="L28" i="5" s="1"/>
  <c r="I29" i="5"/>
  <c r="J29" i="5" s="1"/>
  <c r="L29" i="5" s="1"/>
  <c r="I30" i="5"/>
  <c r="J30" i="5" s="1"/>
  <c r="L30" i="5" s="1"/>
  <c r="I31" i="5"/>
  <c r="J31" i="5" s="1"/>
  <c r="L31" i="5" s="1"/>
  <c r="I32" i="5"/>
  <c r="J32" i="5" s="1"/>
  <c r="L32" i="5" s="1"/>
  <c r="I33" i="5"/>
  <c r="J33" i="5" s="1"/>
  <c r="L33" i="5" s="1"/>
  <c r="I34" i="5"/>
  <c r="J34" i="5" s="1"/>
  <c r="L34" i="5" s="1"/>
  <c r="I35" i="5"/>
  <c r="J35" i="5" s="1"/>
  <c r="L35" i="5" s="1"/>
  <c r="I36" i="5"/>
  <c r="J36" i="5" s="1"/>
  <c r="L36" i="5" s="1"/>
  <c r="I37" i="5"/>
  <c r="J37" i="5" s="1"/>
  <c r="L37" i="5" s="1"/>
  <c r="I38" i="5"/>
  <c r="J38" i="5" s="1"/>
  <c r="L38" i="5" s="1"/>
  <c r="I39" i="5"/>
  <c r="J39" i="5" s="1"/>
  <c r="L39" i="5" s="1"/>
  <c r="I40" i="5"/>
  <c r="I41" i="5"/>
  <c r="I42" i="5"/>
  <c r="J42" i="5" s="1"/>
  <c r="L42" i="5" s="1"/>
  <c r="I23" i="5"/>
  <c r="L23" i="5"/>
  <c r="F5" i="5"/>
  <c r="F6" i="5"/>
  <c r="F7" i="5"/>
  <c r="I7" i="5" s="1"/>
  <c r="J7" i="5" s="1"/>
  <c r="F8" i="5"/>
  <c r="F9" i="5"/>
  <c r="F10" i="5"/>
  <c r="F11" i="5"/>
  <c r="F12" i="5"/>
  <c r="F13" i="5"/>
  <c r="F14" i="5"/>
  <c r="F15" i="5"/>
  <c r="F16" i="5"/>
  <c r="J16" i="5" s="1"/>
  <c r="F17" i="5"/>
  <c r="I17" i="5" s="1"/>
  <c r="J17" i="5" s="1"/>
  <c r="L17" i="5" s="1"/>
  <c r="F18" i="5"/>
  <c r="F19" i="5"/>
  <c r="F20" i="5"/>
  <c r="F4" i="5"/>
  <c r="I19" i="5"/>
  <c r="J19" i="5" s="1"/>
  <c r="I12" i="5"/>
  <c r="J12" i="5" s="1"/>
  <c r="I8" i="5"/>
  <c r="J8" i="5" s="1"/>
  <c r="I4" i="5"/>
  <c r="H43" i="5"/>
  <c r="J41" i="5"/>
  <c r="L41" i="5" s="1"/>
  <c r="J40" i="5"/>
  <c r="L40" i="5" s="1"/>
  <c r="J24" i="5"/>
  <c r="L24" i="5" s="1"/>
  <c r="J10" i="4"/>
  <c r="L10" i="4" s="1"/>
  <c r="M10" i="4" s="1"/>
  <c r="F10" i="4" s="1"/>
  <c r="L2" i="4"/>
  <c r="B6" i="6" s="1"/>
  <c r="L1" i="4"/>
  <c r="D6" i="6" s="1"/>
  <c r="J17" i="4"/>
  <c r="L17" i="4" s="1"/>
  <c r="J19" i="4"/>
  <c r="L19" i="4" s="1"/>
  <c r="M19" i="4" s="1"/>
  <c r="F19" i="4" s="1"/>
  <c r="J21" i="4"/>
  <c r="L21" i="4" s="1"/>
  <c r="M21" i="4" s="1"/>
  <c r="J23" i="4"/>
  <c r="L23" i="4" s="1"/>
  <c r="M23" i="4" s="1"/>
  <c r="F23" i="4" s="1"/>
  <c r="J28" i="4"/>
  <c r="L28" i="4" s="1"/>
  <c r="M28" i="4" s="1"/>
  <c r="F28" i="4" s="1"/>
  <c r="J30" i="4"/>
  <c r="L30" i="4" s="1"/>
  <c r="J27" i="4"/>
  <c r="L27" i="4" s="1"/>
  <c r="J9" i="4"/>
  <c r="L9" i="4" s="1"/>
  <c r="J11" i="4"/>
  <c r="L11" i="4" s="1"/>
  <c r="M11" i="4" s="1"/>
  <c r="F11" i="4" s="1"/>
  <c r="B106" i="6" l="1"/>
  <c r="B146" i="6"/>
  <c r="B115" i="6"/>
  <c r="E115" i="6" s="1"/>
  <c r="B120" i="6"/>
  <c r="B118" i="6"/>
  <c r="E118" i="6" s="1"/>
  <c r="B70" i="6"/>
  <c r="E70" i="6" s="1"/>
  <c r="B73" i="6"/>
  <c r="E73" i="6" s="1"/>
  <c r="B37" i="6"/>
  <c r="E37" i="6" s="1"/>
  <c r="B99" i="6"/>
  <c r="E99" i="6" s="1"/>
  <c r="B105" i="6"/>
  <c r="E105" i="6" s="1"/>
  <c r="B104" i="6"/>
  <c r="E104" i="6" s="1"/>
  <c r="B90" i="6"/>
  <c r="E90" i="6" s="1"/>
  <c r="B77" i="6"/>
  <c r="E77" i="6" s="1"/>
  <c r="E75" i="6" s="1"/>
  <c r="B42" i="6"/>
  <c r="B98" i="6"/>
  <c r="E98" i="6" s="1"/>
  <c r="B28" i="6"/>
  <c r="E28" i="6" s="1"/>
  <c r="B89" i="6"/>
  <c r="E89" i="6" s="1"/>
  <c r="B47" i="6"/>
  <c r="B25" i="6"/>
  <c r="B93" i="6"/>
  <c r="E93" i="6" s="1"/>
  <c r="B38" i="6"/>
  <c r="E38" i="6" s="1"/>
  <c r="B33" i="6"/>
  <c r="E33" i="6" s="1"/>
  <c r="B86" i="6"/>
  <c r="E86" i="6" s="1"/>
  <c r="N44" i="4"/>
  <c r="N45" i="4"/>
  <c r="N46" i="4"/>
  <c r="N47" i="4"/>
  <c r="N48" i="4"/>
  <c r="N51" i="4"/>
  <c r="N41" i="4"/>
  <c r="N37" i="4"/>
  <c r="N40" i="4"/>
  <c r="N39" i="4"/>
  <c r="N49" i="4"/>
  <c r="N38" i="4"/>
  <c r="N50" i="4"/>
  <c r="N42" i="4"/>
  <c r="N43" i="4"/>
  <c r="N36" i="4"/>
  <c r="L29" i="4"/>
  <c r="M29" i="4" s="1"/>
  <c r="F29" i="4" s="1"/>
  <c r="I35" i="4"/>
  <c r="L35" i="4" s="1"/>
  <c r="M35" i="4" s="1"/>
  <c r="O35" i="4" s="1"/>
  <c r="M9" i="4"/>
  <c r="O9" i="4" s="1"/>
  <c r="N18" i="4"/>
  <c r="N52" i="4"/>
  <c r="N20" i="4"/>
  <c r="O5" i="4"/>
  <c r="I34" i="4"/>
  <c r="L34" i="4" s="1"/>
  <c r="L13" i="4"/>
  <c r="M13" i="4" s="1"/>
  <c r="O12" i="4"/>
  <c r="N12" i="4"/>
  <c r="N16" i="4"/>
  <c r="O16" i="4"/>
  <c r="O15" i="4"/>
  <c r="N15" i="4"/>
  <c r="O22" i="4"/>
  <c r="N22" i="4"/>
  <c r="O26" i="4"/>
  <c r="N26" i="4"/>
  <c r="M27" i="4"/>
  <c r="O21" i="4"/>
  <c r="M30" i="4"/>
  <c r="O30" i="4" s="1"/>
  <c r="M14" i="4"/>
  <c r="M17" i="4"/>
  <c r="O19" i="4"/>
  <c r="O24" i="4"/>
  <c r="O23" i="4"/>
  <c r="O28" i="4"/>
  <c r="O11" i="4"/>
  <c r="O10" i="4"/>
  <c r="O25" i="4"/>
  <c r="N25" i="4"/>
  <c r="N29" i="4"/>
  <c r="I6" i="5"/>
  <c r="J6" i="5" s="1"/>
  <c r="K6" i="5" s="1"/>
  <c r="I14" i="5"/>
  <c r="J14" i="5" s="1"/>
  <c r="I18" i="5"/>
  <c r="J18" i="5" s="1"/>
  <c r="L18" i="5" s="1"/>
  <c r="I10" i="5"/>
  <c r="J10" i="5" s="1"/>
  <c r="L10" i="5" s="1"/>
  <c r="J23" i="5"/>
  <c r="I20" i="5"/>
  <c r="J20" i="5" s="1"/>
  <c r="L20" i="5" s="1"/>
  <c r="I5" i="5"/>
  <c r="J5" i="5" s="1"/>
  <c r="L5" i="5" s="1"/>
  <c r="I11" i="5"/>
  <c r="J11" i="5" s="1"/>
  <c r="L11" i="5" s="1"/>
  <c r="I9" i="5"/>
  <c r="J9" i="5" s="1"/>
  <c r="F21" i="5"/>
  <c r="I21" i="5" s="1"/>
  <c r="J21" i="5" s="1"/>
  <c r="L21" i="5" s="1"/>
  <c r="F22" i="5"/>
  <c r="I22" i="5" s="1"/>
  <c r="J22" i="5" s="1"/>
  <c r="L22" i="5" s="1"/>
  <c r="I13" i="5"/>
  <c r="J13" i="5" s="1"/>
  <c r="K13" i="5" s="1"/>
  <c r="I15" i="5"/>
  <c r="J15" i="5" s="1"/>
  <c r="K15" i="5" s="1"/>
  <c r="L12" i="5"/>
  <c r="K12" i="5"/>
  <c r="K7" i="5"/>
  <c r="L7" i="5"/>
  <c r="L14" i="5"/>
  <c r="K14" i="5"/>
  <c r="L8" i="5"/>
  <c r="K8" i="5"/>
  <c r="L16" i="5"/>
  <c r="K16" i="5"/>
  <c r="L19" i="5"/>
  <c r="K19" i="5"/>
  <c r="L9" i="5"/>
  <c r="K9" i="5"/>
  <c r="K10" i="5"/>
  <c r="K17" i="5"/>
  <c r="N10" i="4"/>
  <c r="B43" i="6" l="1"/>
  <c r="E43" i="6" s="1"/>
  <c r="B44" i="6"/>
  <c r="E44" i="6" s="1"/>
  <c r="E42" i="6"/>
  <c r="L53" i="4"/>
  <c r="L54" i="4" s="1"/>
  <c r="E68" i="6"/>
  <c r="O29" i="4"/>
  <c r="B31" i="6"/>
  <c r="E31" i="6" s="1"/>
  <c r="B30" i="6"/>
  <c r="E30" i="6" s="1"/>
  <c r="E25" i="6"/>
  <c r="E10" i="6" s="1"/>
  <c r="B49" i="6"/>
  <c r="E49" i="6" s="1"/>
  <c r="E47" i="6"/>
  <c r="B48" i="6"/>
  <c r="E48" i="6" s="1"/>
  <c r="E108" i="6"/>
  <c r="E146" i="6"/>
  <c r="C155" i="6"/>
  <c r="C156" i="6" s="1"/>
  <c r="C157" i="6" s="1"/>
  <c r="B107" i="6"/>
  <c r="E107" i="6" s="1"/>
  <c r="E100" i="6" s="1"/>
  <c r="E106" i="6"/>
  <c r="F9" i="4"/>
  <c r="O27" i="4"/>
  <c r="F27" i="4"/>
  <c r="O17" i="4"/>
  <c r="F17" i="4"/>
  <c r="O14" i="4"/>
  <c r="F14" i="4"/>
  <c r="O13" i="4"/>
  <c r="F13" i="4"/>
  <c r="M34" i="4"/>
  <c r="M53" i="4" s="1"/>
  <c r="K18" i="5"/>
  <c r="L6" i="5"/>
  <c r="K20" i="5"/>
  <c r="K11" i="5"/>
  <c r="K5" i="5"/>
  <c r="L15" i="5"/>
  <c r="L13" i="5"/>
  <c r="I43" i="5"/>
  <c r="L43" i="5" s="1"/>
  <c r="J4" i="5"/>
  <c r="E163" i="6" l="1"/>
  <c r="E144" i="6"/>
  <c r="E39" i="6"/>
  <c r="E130" i="6"/>
  <c r="O34" i="4"/>
  <c r="O53" i="4" s="1"/>
  <c r="L4" i="5"/>
  <c r="K4" i="5"/>
  <c r="J43" i="5"/>
  <c r="N13" i="4"/>
  <c r="N23" i="4"/>
  <c r="N14" i="4"/>
  <c r="N28" i="4"/>
  <c r="N30" i="4"/>
  <c r="N21" i="4"/>
  <c r="N19" i="4"/>
  <c r="N27" i="4"/>
  <c r="N24" i="4"/>
  <c r="N17" i="4"/>
  <c r="E148" i="6" l="1"/>
  <c r="N9" i="4"/>
  <c r="E164" i="6" l="1"/>
  <c r="E165" i="6" s="1"/>
  <c r="E161" i="6"/>
  <c r="N11" i="4"/>
  <c r="N5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Avery Hacker</author>
  </authors>
  <commentList>
    <comment ref="G4" authorId="0" shapeId="0" xr:uid="{27F741A6-65A4-485D-84B9-EE9398BBBD54}">
      <text>
        <r>
          <rPr>
            <b/>
            <sz val="9"/>
            <color indexed="81"/>
            <rFont val="Tahoma"/>
            <family val="2"/>
          </rPr>
          <t>Avery Hacker:</t>
        </r>
        <r>
          <rPr>
            <sz val="9"/>
            <color indexed="81"/>
            <rFont val="Tahoma"/>
            <family val="2"/>
          </rPr>
          <t xml:space="preserve">
Date needs to be entered for any personnel not yet charging to the project</t>
        </r>
      </text>
    </comment>
    <comment ref="H4" authorId="0" shapeId="0" xr:uid="{7AC79C84-7089-438A-A727-CA3BD0CDCACF}">
      <text>
        <r>
          <rPr>
            <b/>
            <sz val="9"/>
            <color indexed="81"/>
            <rFont val="Tahoma"/>
            <family val="2"/>
          </rPr>
          <t>Avery Hacker:</t>
        </r>
        <r>
          <rPr>
            <sz val="9"/>
            <color indexed="81"/>
            <rFont val="Tahoma"/>
            <family val="2"/>
          </rPr>
          <t xml:space="preserve">
Date needs to be entered for any personnel that won't be charging to the end of the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Avery Hacker</author>
  </authors>
  <commentList>
    <comment ref="E119" authorId="0" shapeId="0" xr:uid="{44F7873C-A2DE-44EE-B8C4-7BA97EDF1D98}">
      <text>
        <r>
          <rPr>
            <b/>
            <sz val="9"/>
            <color indexed="81"/>
            <rFont val="Tahoma"/>
            <family val="2"/>
          </rPr>
          <t>Avery Hacker:</t>
        </r>
        <r>
          <rPr>
            <sz val="9"/>
            <color indexed="81"/>
            <rFont val="Tahoma"/>
            <family val="2"/>
          </rPr>
          <t xml:space="preserve">
Do we still need this?</t>
        </r>
      </text>
    </comment>
  </commentList>
</comments>
</file>

<file path=xl/sharedStrings.xml><?xml version="1.0" encoding="utf-8"?>
<sst xmlns="http://schemas.openxmlformats.org/spreadsheetml/2006/main" count="457" uniqueCount="289">
  <si>
    <t>Project Manager</t>
  </si>
  <si>
    <t>Project Coordinator</t>
  </si>
  <si>
    <t>Dir. Of Field Operations</t>
  </si>
  <si>
    <t>Assistant Superintendent</t>
  </si>
  <si>
    <t>Projection</t>
  </si>
  <si>
    <t>01-2007-10000</t>
  </si>
  <si>
    <t>01-2010-10000</t>
  </si>
  <si>
    <t>01-2012-10000</t>
  </si>
  <si>
    <t>01-2013-10000</t>
  </si>
  <si>
    <t>01-2017-10000</t>
  </si>
  <si>
    <t>Code</t>
  </si>
  <si>
    <t>Title</t>
  </si>
  <si>
    <t>Variance</t>
  </si>
  <si>
    <t>01-1100-10000</t>
  </si>
  <si>
    <t>01-2160-10000</t>
  </si>
  <si>
    <t>01-5015-10000</t>
  </si>
  <si>
    <t>01-5021-10000</t>
  </si>
  <si>
    <t>01-5030-10000</t>
  </si>
  <si>
    <t>Meeting Supplies</t>
  </si>
  <si>
    <t>Trailer Mobilize/Demobilize</t>
  </si>
  <si>
    <t>Trailer Equipment/Supplies</t>
  </si>
  <si>
    <t>Original Estimate</t>
  </si>
  <si>
    <t>Contract Rate</t>
  </si>
  <si>
    <t>Notes</t>
  </si>
  <si>
    <t>Monthly Budget
1 Month</t>
  </si>
  <si>
    <t>Project Superintendent</t>
  </si>
  <si>
    <t>01-2030-10000</t>
  </si>
  <si>
    <t>Vehicle Expenses</t>
  </si>
  <si>
    <t>01-2170-10000</t>
  </si>
  <si>
    <t>Photographs</t>
  </si>
  <si>
    <t>01-2850-10000</t>
  </si>
  <si>
    <t>Textura Fee</t>
  </si>
  <si>
    <t>01-5160-10000</t>
  </si>
  <si>
    <t>Mobile/Cell Service</t>
  </si>
  <si>
    <t>Hrs Billed per Week</t>
  </si>
  <si>
    <t>General Superintendent</t>
  </si>
  <si>
    <t>01-2018-10000</t>
  </si>
  <si>
    <t>Project Accountant</t>
  </si>
  <si>
    <t>LCP Tracker</t>
  </si>
  <si>
    <t>01-5240-10000</t>
  </si>
  <si>
    <t>Trailer Drinking Water</t>
  </si>
  <si>
    <t>01-6000-10000</t>
  </si>
  <si>
    <t>Submittal Exchange</t>
  </si>
  <si>
    <t>01-6070-10000</t>
  </si>
  <si>
    <t>Safety Equipment</t>
  </si>
  <si>
    <t>01-6075-10000</t>
  </si>
  <si>
    <t>Safety - Contract Service</t>
  </si>
  <si>
    <t>01-7010-10000</t>
  </si>
  <si>
    <t>Detail &amp; Close-Out</t>
  </si>
  <si>
    <t>01-2005-10000</t>
  </si>
  <si>
    <t>Assistant Project Manager</t>
  </si>
  <si>
    <t>Blueprinting</t>
  </si>
  <si>
    <t>01-5023-10000</t>
  </si>
  <si>
    <t>01-6002-10000</t>
  </si>
  <si>
    <t>01-6065-10000</t>
  </si>
  <si>
    <t>Promotional</t>
  </si>
  <si>
    <t>01-5020-10000</t>
  </si>
  <si>
    <t>Trailer Rent</t>
  </si>
  <si>
    <t>01-2003-10000</t>
  </si>
  <si>
    <t>01-2021-10000</t>
  </si>
  <si>
    <t>01-2022-10000</t>
  </si>
  <si>
    <t>01-2023-10000</t>
  </si>
  <si>
    <t>MPE Manager</t>
  </si>
  <si>
    <t>Quality Manager</t>
  </si>
  <si>
    <t>01-2175-10000</t>
  </si>
  <si>
    <t>Real Time Video Camera</t>
  </si>
  <si>
    <t>01-2800-10000</t>
  </si>
  <si>
    <t>01-5022-10000</t>
  </si>
  <si>
    <t>Jobsite Copy Machine</t>
  </si>
  <si>
    <t>Jobsite Phone/Data</t>
  </si>
  <si>
    <t>State Trailer</t>
  </si>
  <si>
    <t>01-6001-10000</t>
  </si>
  <si>
    <t>Multivista</t>
  </si>
  <si>
    <t>Procore</t>
  </si>
  <si>
    <t>Contract Administrator</t>
  </si>
  <si>
    <t>Status Date</t>
  </si>
  <si>
    <t>Projected Through</t>
  </si>
  <si>
    <t>Weeks Remaining</t>
  </si>
  <si>
    <t>Actual Costs to Date</t>
  </si>
  <si>
    <t>01-2006-10000</t>
  </si>
  <si>
    <t>01-2014-10000</t>
  </si>
  <si>
    <t>01-2015-10000</t>
  </si>
  <si>
    <t>Job Name - GC's</t>
  </si>
  <si>
    <t>CORE Team Member</t>
  </si>
  <si>
    <t>Senior Project Manager</t>
  </si>
  <si>
    <t>01-2004-10000</t>
  </si>
  <si>
    <t>01-2011-10000</t>
  </si>
  <si>
    <t>Senior Project Superintendent</t>
  </si>
  <si>
    <t>01-2009-10000</t>
  </si>
  <si>
    <t>Intern</t>
  </si>
  <si>
    <r>
      <t>Charging End Date</t>
    </r>
    <r>
      <rPr>
        <b/>
        <sz val="8"/>
        <rFont val="Arial Narrow"/>
        <family val="2"/>
      </rPr>
      <t xml:space="preserve"> (only enter if end date is earlier than projected date)</t>
    </r>
  </si>
  <si>
    <r>
      <t>Charging Start Date</t>
    </r>
    <r>
      <rPr>
        <b/>
        <sz val="11"/>
        <rFont val="Arial Narrow"/>
        <family val="2"/>
      </rPr>
      <t xml:space="preserve"> </t>
    </r>
    <r>
      <rPr>
        <b/>
        <sz val="8"/>
        <rFont val="Arial Narrow"/>
        <family val="2"/>
      </rPr>
      <t>(only enter if start date is later than status date)</t>
    </r>
  </si>
  <si>
    <t>Remaining Cost</t>
  </si>
  <si>
    <t>Cost</t>
  </si>
  <si>
    <t>% Allocation</t>
  </si>
  <si>
    <t>Monthly GC Calculator</t>
  </si>
  <si>
    <t>per week</t>
  </si>
  <si>
    <t>per month</t>
  </si>
  <si>
    <t>each</t>
  </si>
  <si>
    <t>Per contract</t>
  </si>
  <si>
    <t>Project Engineer</t>
  </si>
  <si>
    <t>BIM Manager</t>
  </si>
  <si>
    <t>Project Director</t>
  </si>
  <si>
    <t>Assistant Contract Administrator</t>
  </si>
  <si>
    <t>01-2000-10000</t>
  </si>
  <si>
    <t>Quality Control Manager</t>
  </si>
  <si>
    <t>01-2001-10000</t>
  </si>
  <si>
    <t>Safety Director</t>
  </si>
  <si>
    <t>01-2002-10000</t>
  </si>
  <si>
    <t>Project Principal</t>
  </si>
  <si>
    <t>01-2020-10000</t>
  </si>
  <si>
    <t>Director of Operations</t>
  </si>
  <si>
    <t>01-2019-10000</t>
  </si>
  <si>
    <t>01-2016-10000</t>
  </si>
  <si>
    <t>Certified Payroll Manager</t>
  </si>
  <si>
    <t>Project Coordination</t>
  </si>
  <si>
    <t>Additional Project Team</t>
  </si>
  <si>
    <t>01-2024-10000</t>
  </si>
  <si>
    <t>01-2025-10000</t>
  </si>
  <si>
    <t>01-2012-20000</t>
  </si>
  <si>
    <t>01-2008-10000</t>
  </si>
  <si>
    <t>01-2004-20000</t>
  </si>
  <si>
    <t>GR's</t>
  </si>
  <si>
    <t>Touch Plan</t>
  </si>
  <si>
    <t>Drinking Water</t>
  </si>
  <si>
    <t>Travel</t>
  </si>
  <si>
    <t>Blueprints</t>
  </si>
  <si>
    <t>Safety Contract Service</t>
  </si>
  <si>
    <t>Jobsite Data</t>
  </si>
  <si>
    <t>Misc</t>
  </si>
  <si>
    <t>Temp Utilities</t>
  </si>
  <si>
    <t>GMP Amount</t>
  </si>
  <si>
    <t>SPWD UNLV Business School</t>
  </si>
  <si>
    <t>Total Hours</t>
  </si>
  <si>
    <t>Start Date</t>
  </si>
  <si>
    <t>End Date</t>
  </si>
  <si>
    <t>UNLV Business School GC's</t>
  </si>
  <si>
    <t>Assistant Superintendent (Utilities &amp; Site)</t>
  </si>
  <si>
    <t>Project Superintendent (Structural and Int Finish)</t>
  </si>
  <si>
    <t>Project Superintendent (MEP)</t>
  </si>
  <si>
    <t>Assistant Superintendent (Interior Finishes)</t>
  </si>
  <si>
    <t>Project Superintendent (Enclosure)</t>
  </si>
  <si>
    <t>MEP/Cx Manager</t>
  </si>
  <si>
    <t>Field Engineer</t>
  </si>
  <si>
    <t>Procore BIM</t>
  </si>
  <si>
    <t>LS</t>
  </si>
  <si>
    <t>of GMP</t>
  </si>
  <si>
    <t>GENERAL REQUIREMENTS BREAKDOWN</t>
  </si>
  <si>
    <t>Total Duration</t>
  </si>
  <si>
    <t>WEEKS</t>
  </si>
  <si>
    <t>MOS</t>
  </si>
  <si>
    <t>DESCRIPTION</t>
  </si>
  <si>
    <t>QTY.</t>
  </si>
  <si>
    <t>UNITS</t>
  </si>
  <si>
    <t>COST</t>
  </si>
  <si>
    <t>Total Cost</t>
  </si>
  <si>
    <t>GEN #1 - Gen Temp Construction Requirements</t>
  </si>
  <si>
    <t>Set up, Removal, and Rental</t>
  </si>
  <si>
    <t>MO</t>
  </si>
  <si>
    <t>Maintenance</t>
  </si>
  <si>
    <t>Safety Railing Materials</t>
  </si>
  <si>
    <t>LF</t>
  </si>
  <si>
    <t>Maintenance (3Hrs/Day for 10 Months)</t>
  </si>
  <si>
    <t>HR</t>
  </si>
  <si>
    <t>Removal (3 Hrs/Day for 6 Months)</t>
  </si>
  <si>
    <t>Misc Materials</t>
  </si>
  <si>
    <t>WK</t>
  </si>
  <si>
    <t>Off-Site City Street Requirements</t>
  </si>
  <si>
    <t>Lane Encroachment Permit</t>
  </si>
  <si>
    <t>Shipping &amp; Delivery</t>
  </si>
  <si>
    <t>Installation of Barriers</t>
  </si>
  <si>
    <t>HRS</t>
  </si>
  <si>
    <t>Monthly Barrier Rental</t>
  </si>
  <si>
    <t>Fencing, Mounted to K-Rail</t>
  </si>
  <si>
    <t>Monthly Fence Rental</t>
  </si>
  <si>
    <t>Maintenance of Barricade System (Twice per month)</t>
  </si>
  <si>
    <t>Traffic Control</t>
  </si>
  <si>
    <t>DAY</t>
  </si>
  <si>
    <t>Street Sweeping, Biweekly</t>
  </si>
  <si>
    <t>EA</t>
  </si>
  <si>
    <t>Water Utility Charges</t>
  </si>
  <si>
    <t>Temporary Sanitary Facilities / Job Toilets</t>
  </si>
  <si>
    <t>GEN #2 - Equipment Rental &amp; Operations</t>
  </si>
  <si>
    <t>Mobilization / Demobilization</t>
  </si>
  <si>
    <t>Monthly Rental</t>
  </si>
  <si>
    <t>Light Equipment Operator(s) (20 HR / Week)</t>
  </si>
  <si>
    <t>Light Equipment Fuel</t>
  </si>
  <si>
    <t>GAL</t>
  </si>
  <si>
    <t>Delivery &amp; Pickup</t>
  </si>
  <si>
    <t>Installation and Removal (2 Laborers, 3hrs to install, 3hrs to remove)</t>
  </si>
  <si>
    <t>Rental</t>
  </si>
  <si>
    <t>Install/Dismantle/Engineering/Permits</t>
  </si>
  <si>
    <t>Operator, Standard Time</t>
  </si>
  <si>
    <t>Operator, Overtime</t>
  </si>
  <si>
    <t>SF</t>
  </si>
  <si>
    <t>Operator Crew (2 Man), Standard Time</t>
  </si>
  <si>
    <t>Operator Crew (2-Man), Overtime</t>
  </si>
  <si>
    <t>GEN #3 - Waste Management &amp; Cleaning</t>
  </si>
  <si>
    <t>Waste Management, Building 1 &amp; 2</t>
  </si>
  <si>
    <t>Standard Waste Dumpster (5/week)</t>
  </si>
  <si>
    <t>Waste Management Labor</t>
  </si>
  <si>
    <t>Waste Management, Offsite</t>
  </si>
  <si>
    <t>Standard Waste Dumpster (Biweekly)</t>
  </si>
  <si>
    <t>6 - Offsite Temp Construction Requirements</t>
  </si>
  <si>
    <t>Primary Off-Site Laydown Area</t>
  </si>
  <si>
    <t xml:space="preserve">Temporary Fence </t>
  </si>
  <si>
    <t>Lockable Gate Panels</t>
  </si>
  <si>
    <t>Main Construction Sign</t>
  </si>
  <si>
    <t>Site Safety &amp; Security Signage</t>
  </si>
  <si>
    <t>Labor to Set Up Offsite Logistics Plan</t>
  </si>
  <si>
    <t>Construction Storage Units (Qty of 3)</t>
  </si>
  <si>
    <t>Mobilization</t>
  </si>
  <si>
    <t>Construction Toilets</t>
  </si>
  <si>
    <t>Additional Service / Cleaning</t>
  </si>
  <si>
    <t>Sanitation Station</t>
  </si>
  <si>
    <t>Dust Control Service</t>
  </si>
  <si>
    <t>Monthly Service</t>
  </si>
  <si>
    <t>Trailer Holding Tank</t>
  </si>
  <si>
    <t>Trailer Security System</t>
  </si>
  <si>
    <t>11 - Dust Control</t>
  </si>
  <si>
    <t>Plan and Permit</t>
  </si>
  <si>
    <t>AC</t>
  </si>
  <si>
    <t>Permit Extension (1+ Years)</t>
  </si>
  <si>
    <t>Metered Connection</t>
  </si>
  <si>
    <t>Construction Water (On-Site)</t>
  </si>
  <si>
    <t>Track Out Pad &amp; Maintenance</t>
  </si>
  <si>
    <t>Water Truck Operator (20 HR / WK)</t>
  </si>
  <si>
    <t>12 - Storm Water Mitigation</t>
  </si>
  <si>
    <t>Plan &amp; Permit</t>
  </si>
  <si>
    <t>Concrete Washout</t>
  </si>
  <si>
    <t>Waddles</t>
  </si>
  <si>
    <t>Off-Site</t>
  </si>
  <si>
    <t>BMP Prevention Methods, Setup</t>
  </si>
  <si>
    <t>BMP Prevention Methods, Maintenance (1HR/DAY)</t>
  </si>
  <si>
    <t>On-Site</t>
  </si>
  <si>
    <t>17 - Tree Protection &amp; Maintenance</t>
  </si>
  <si>
    <t>Tree Protection &amp; Maintenance</t>
  </si>
  <si>
    <t>Protect Trees - Plastic Jersey Barriers</t>
  </si>
  <si>
    <t>Quarterly Maintenance</t>
  </si>
  <si>
    <t>Pruning</t>
  </si>
  <si>
    <t>Fertilizer</t>
  </si>
  <si>
    <t>Water Trees</t>
  </si>
  <si>
    <t>27 - Structural Layout/Coordination</t>
  </si>
  <si>
    <t>Placing Embeds for Hangers for Temporary Construction</t>
  </si>
  <si>
    <t>Materials</t>
  </si>
  <si>
    <t>Pour</t>
  </si>
  <si>
    <t>Equipment and Small Tools</t>
  </si>
  <si>
    <t>Total of Items Above</t>
  </si>
  <si>
    <t>37 - Temporary Dry-in</t>
  </si>
  <si>
    <t>Temp-In Windows (50%)</t>
  </si>
  <si>
    <t>Temporary Enclosure Protection Materials</t>
  </si>
  <si>
    <t>Temp Enclosure Labor</t>
  </si>
  <si>
    <t>55 - Temp Requirements for Phasing/Quality Control</t>
  </si>
  <si>
    <t>Finish Protection, Materials</t>
  </si>
  <si>
    <t>General Laborer, Full Time</t>
  </si>
  <si>
    <t>58 - Interior Layout &amp; Coordination</t>
  </si>
  <si>
    <t>Vertical Gridline Transfer</t>
  </si>
  <si>
    <t>GSF</t>
  </si>
  <si>
    <t>Interior Wall Layout</t>
  </si>
  <si>
    <t>Consumables</t>
  </si>
  <si>
    <t>Carpenter</t>
  </si>
  <si>
    <t>70 - Progressive and Final Cleaning Req</t>
  </si>
  <si>
    <t>Cleaning Materials</t>
  </si>
  <si>
    <t>Building (Labor)</t>
  </si>
  <si>
    <t>Final Clean Service</t>
  </si>
  <si>
    <t>Labor/Operator Hours Included</t>
  </si>
  <si>
    <t>total</t>
  </si>
  <si>
    <t>Bldng SF</t>
  </si>
  <si>
    <t>Temp Stair Tower (Quantity of 2)</t>
  </si>
  <si>
    <t>Elevated Deck Safety Railings</t>
  </si>
  <si>
    <t>K-Rail &amp; Fence Barrier</t>
  </si>
  <si>
    <t>Power Consumption, Construction</t>
  </si>
  <si>
    <t>Power Consumption, Start-Up &amp; Commissioning</t>
  </si>
  <si>
    <t>Protection of Existing Site Finishes (Maryland Parkway, Water Meters, NVE Vaults &amp; Meter Pedestals, Traffic Signals)</t>
  </si>
  <si>
    <t>Parking Space Charges</t>
  </si>
  <si>
    <t>Light Equipment Operator(s) (40 HR / Week)</t>
  </si>
  <si>
    <t>Forklift #1 (Primary)</t>
  </si>
  <si>
    <t>Forklift (Secondary)</t>
  </si>
  <si>
    <t>Loading Decks (Qty of 3)</t>
  </si>
  <si>
    <t>Man &amp; Material Lift</t>
  </si>
  <si>
    <t>Tower Crane</t>
  </si>
  <si>
    <t>Loading Dock &amp; Ramp</t>
  </si>
  <si>
    <t>Lease Amount</t>
  </si>
  <si>
    <t>Gravel (2") to close SWPP</t>
  </si>
  <si>
    <t>Water Truck, Fuel &amp; Maintenance</t>
  </si>
  <si>
    <t>Finish Protection &amp; Gen Labor</t>
  </si>
  <si>
    <t>Labor</t>
  </si>
  <si>
    <t>GR's minus Man Lift &amp; Crane</t>
  </si>
  <si>
    <t>% of $200m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</si>
</sst>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"/>
    <numFmt numFmtId="165" formatCode="0.0"/>
    <numFmt numFmtId="166" formatCode="_(&quot;$&quot;* #,##0_);_(&quot;$&quot;* \(#,##0\);_(&quot;$&quot;* &quot;-&quot;??_);_(@_)"/>
    <numFmt numFmtId="167" formatCode="_(&quot;$&quot;* #,##0.0_);_(&quot;$&quot;* \(#,##0.0\);_(&quot;$&quot;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6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Arial Narrow"/>
      <family val="2"/>
    </font>
    <font>
      <u/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 Narrow"/>
      <family val="2"/>
    </font>
    <font>
      <b/>
      <sz val="8"/>
      <name val="Arial Narrow"/>
      <family val="2"/>
    </font>
    <font>
      <b/>
      <sz val="16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0"/>
      <name val="Arial"/>
      <family val="2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2"/>
      <name val="Segoe UI"/>
      <family val="2"/>
    </font>
    <font>
      <i/>
      <u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1" fillId="0" borderId="0"/>
  </cellStyleXfs>
  <cellXfs count="143">
    <xf numFmtId="0" fontId="0" fillId="0" borderId="0" xfId="0"/>
    <xf numFmtId="0" fontId="2" fillId="0" borderId="1" xfId="0" applyFont="1" applyBorder="1"/>
    <xf numFmtId="0" fontId="2" fillId="0" borderId="0" xfId="0" applyFont="1"/>
    <xf numFmtId="6" fontId="3" fillId="0" borderId="1" xfId="0" applyNumberFormat="1" applyFont="1" applyBorder="1"/>
    <xf numFmtId="164" fontId="3" fillId="0" borderId="0" xfId="0" applyNumberFormat="1" applyFont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6" fontId="3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37" fontId="2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6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14" fontId="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2" fillId="2" borderId="1" xfId="0" applyFont="1" applyFill="1" applyBorder="1"/>
    <xf numFmtId="14" fontId="8" fillId="2" borderId="0" xfId="0" applyNumberFormat="1" applyFont="1" applyFill="1" applyAlignment="1">
      <alignment horizontal="center"/>
    </xf>
    <xf numFmtId="37" fontId="2" fillId="2" borderId="1" xfId="1" applyNumberFormat="1" applyFont="1" applyFill="1" applyBorder="1" applyAlignment="1">
      <alignment horizontal="center"/>
    </xf>
    <xf numFmtId="6" fontId="2" fillId="0" borderId="2" xfId="0" applyNumberFormat="1" applyFont="1" applyBorder="1" applyAlignment="1">
      <alignment horizontal="center"/>
    </xf>
    <xf numFmtId="6" fontId="2" fillId="0" borderId="3" xfId="0" applyNumberFormat="1" applyFont="1" applyBorder="1" applyAlignment="1">
      <alignment horizontal="center"/>
    </xf>
    <xf numFmtId="6" fontId="2" fillId="0" borderId="4" xfId="0" applyNumberFormat="1" applyFont="1" applyBorder="1" applyAlignment="1">
      <alignment horizontal="center"/>
    </xf>
    <xf numFmtId="6" fontId="2" fillId="0" borderId="5" xfId="0" applyNumberFormat="1" applyFont="1" applyBorder="1" applyAlignment="1">
      <alignment horizontal="center"/>
    </xf>
    <xf numFmtId="37" fontId="2" fillId="2" borderId="5" xfId="1" applyNumberFormat="1" applyFont="1" applyFill="1" applyBorder="1" applyAlignment="1">
      <alignment horizontal="center"/>
    </xf>
    <xf numFmtId="37" fontId="2" fillId="0" borderId="4" xfId="1" applyNumberFormat="1" applyFont="1" applyBorder="1" applyAlignment="1">
      <alignment horizontal="center"/>
    </xf>
    <xf numFmtId="37" fontId="2" fillId="0" borderId="5" xfId="1" applyNumberFormat="1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14" fontId="2" fillId="0" borderId="5" xfId="0" applyNumberFormat="1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37" fontId="2" fillId="0" borderId="4" xfId="1" applyNumberFormat="1" applyFont="1" applyFill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37" fontId="2" fillId="0" borderId="5" xfId="1" applyNumberFormat="1" applyFont="1" applyFill="1" applyBorder="1" applyAlignment="1">
      <alignment horizontal="center"/>
    </xf>
    <xf numFmtId="9" fontId="2" fillId="2" borderId="5" xfId="2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9" fontId="2" fillId="2" borderId="4" xfId="2" applyFont="1" applyFill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9" fontId="2" fillId="3" borderId="1" xfId="2" applyFon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9" fontId="2" fillId="3" borderId="5" xfId="2" applyFont="1" applyFill="1" applyBorder="1" applyAlignment="1">
      <alignment horizontal="center"/>
    </xf>
    <xf numFmtId="37" fontId="2" fillId="0" borderId="1" xfId="1" applyNumberFormat="1" applyFont="1" applyFill="1" applyBorder="1" applyAlignment="1">
      <alignment horizontal="center"/>
    </xf>
    <xf numFmtId="6" fontId="2" fillId="2" borderId="5" xfId="0" applyNumberFormat="1" applyFont="1" applyFill="1" applyBorder="1" applyAlignment="1">
      <alignment horizontal="center"/>
    </xf>
    <xf numFmtId="0" fontId="13" fillId="0" borderId="0" xfId="0" applyFont="1"/>
    <xf numFmtId="166" fontId="8" fillId="2" borderId="0" xfId="1" applyNumberFormat="1" applyFont="1" applyFill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4" fillId="4" borderId="0" xfId="0" applyFont="1" applyFill="1" applyAlignment="1">
      <alignment horizontal="center" wrapText="1"/>
    </xf>
    <xf numFmtId="6" fontId="14" fillId="4" borderId="1" xfId="0" applyNumberFormat="1" applyFont="1" applyFill="1" applyBorder="1"/>
    <xf numFmtId="0" fontId="15" fillId="4" borderId="0" xfId="0" applyFont="1" applyFill="1"/>
    <xf numFmtId="0" fontId="15" fillId="4" borderId="0" xfId="0" applyFont="1" applyFill="1" applyAlignment="1">
      <alignment wrapText="1"/>
    </xf>
    <xf numFmtId="6" fontId="2" fillId="0" borderId="6" xfId="0" applyNumberFormat="1" applyFont="1" applyBorder="1" applyAlignment="1">
      <alignment horizontal="center"/>
    </xf>
    <xf numFmtId="38" fontId="2" fillId="0" borderId="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7" fontId="2" fillId="0" borderId="0" xfId="1" applyNumberFormat="1" applyFont="1" applyFill="1" applyBorder="1" applyAlignment="1">
      <alignment horizontal="center"/>
    </xf>
    <xf numFmtId="37" fontId="2" fillId="0" borderId="0" xfId="1" applyNumberFormat="1" applyFont="1" applyBorder="1" applyAlignment="1">
      <alignment horizontal="center"/>
    </xf>
    <xf numFmtId="6" fontId="3" fillId="0" borderId="0" xfId="0" applyNumberFormat="1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17" fillId="0" borderId="0" xfId="3" applyFont="1" applyAlignment="1">
      <alignment horizontal="left"/>
    </xf>
    <xf numFmtId="37" fontId="17" fillId="0" borderId="0" xfId="3" applyNumberFormat="1" applyFont="1" applyAlignment="1">
      <alignment horizontal="left"/>
    </xf>
    <xf numFmtId="0" fontId="17" fillId="0" borderId="0" xfId="3" applyFont="1" applyAlignment="1">
      <alignment horizontal="center"/>
    </xf>
    <xf numFmtId="0" fontId="18" fillId="0" borderId="0" xfId="3" applyFont="1"/>
    <xf numFmtId="44" fontId="17" fillId="0" borderId="0" xfId="4" applyFont="1" applyBorder="1" applyAlignment="1">
      <alignment horizontal="left" vertical="center"/>
    </xf>
    <xf numFmtId="37" fontId="17" fillId="0" borderId="0" xfId="4" applyNumberFormat="1" applyFont="1" applyBorder="1" applyAlignment="1">
      <alignment horizontal="left" vertical="center"/>
    </xf>
    <xf numFmtId="44" fontId="17" fillId="0" borderId="0" xfId="4" applyFont="1" applyBorder="1" applyAlignment="1">
      <alignment horizontal="center" vertical="center"/>
    </xf>
    <xf numFmtId="44" fontId="18" fillId="0" borderId="0" xfId="4" applyFont="1" applyBorder="1" applyAlignment="1">
      <alignment horizontal="center"/>
    </xf>
    <xf numFmtId="37" fontId="18" fillId="0" borderId="0" xfId="4" applyNumberFormat="1" applyFont="1" applyBorder="1" applyAlignment="1">
      <alignment horizontal="center"/>
    </xf>
    <xf numFmtId="0" fontId="18" fillId="0" borderId="0" xfId="3" applyFont="1" applyAlignment="1">
      <alignment horizontal="center"/>
    </xf>
    <xf numFmtId="37" fontId="18" fillId="0" borderId="0" xfId="3" applyNumberFormat="1" applyFont="1" applyAlignment="1">
      <alignment horizontal="center"/>
    </xf>
    <xf numFmtId="7" fontId="18" fillId="0" borderId="0" xfId="3" applyNumberFormat="1" applyFont="1" applyAlignment="1">
      <alignment horizontal="center"/>
    </xf>
    <xf numFmtId="7" fontId="18" fillId="0" borderId="7" xfId="3" applyNumberFormat="1" applyFont="1" applyBorder="1" applyAlignment="1">
      <alignment horizontal="center"/>
    </xf>
    <xf numFmtId="0" fontId="19" fillId="0" borderId="8" xfId="5" applyFont="1" applyBorder="1" applyAlignment="1">
      <alignment horizontal="center"/>
    </xf>
    <xf numFmtId="37" fontId="19" fillId="0" borderId="8" xfId="5" applyNumberFormat="1" applyFont="1" applyBorder="1" applyAlignment="1">
      <alignment horizontal="center"/>
    </xf>
    <xf numFmtId="0" fontId="19" fillId="0" borderId="8" xfId="5" applyFont="1" applyBorder="1" applyAlignment="1">
      <alignment horizontal="center" wrapText="1"/>
    </xf>
    <xf numFmtId="0" fontId="20" fillId="0" borderId="4" xfId="3" applyFont="1" applyBorder="1" applyAlignment="1">
      <alignment horizontal="left" wrapText="1" shrinkToFit="1"/>
    </xf>
    <xf numFmtId="37" fontId="20" fillId="4" borderId="4" xfId="3" applyNumberFormat="1" applyFont="1" applyFill="1" applyBorder="1" applyAlignment="1">
      <alignment horizontal="center"/>
    </xf>
    <xf numFmtId="0" fontId="20" fillId="4" borderId="9" xfId="3" applyFont="1" applyFill="1" applyBorder="1" applyAlignment="1">
      <alignment horizontal="center"/>
    </xf>
    <xf numFmtId="166" fontId="20" fillId="4" borderId="9" xfId="3" applyNumberFormat="1" applyFont="1" applyFill="1" applyBorder="1" applyAlignment="1">
      <alignment horizontal="center"/>
    </xf>
    <xf numFmtId="44" fontId="20" fillId="4" borderId="4" xfId="3" applyNumberFormat="1" applyFont="1" applyFill="1" applyBorder="1" applyAlignment="1">
      <alignment horizontal="center"/>
    </xf>
    <xf numFmtId="0" fontId="20" fillId="0" borderId="0" xfId="3" applyFont="1" applyAlignment="1">
      <alignment horizontal="center"/>
    </xf>
    <xf numFmtId="0" fontId="21" fillId="4" borderId="10" xfId="3" applyFont="1" applyFill="1" applyBorder="1" applyAlignment="1">
      <alignment horizontal="left" shrinkToFit="1"/>
    </xf>
    <xf numFmtId="37" fontId="18" fillId="4" borderId="10" xfId="3" applyNumberFormat="1" applyFont="1" applyFill="1" applyBorder="1" applyAlignment="1">
      <alignment horizontal="center"/>
    </xf>
    <xf numFmtId="0" fontId="18" fillId="4" borderId="11" xfId="3" applyFont="1" applyFill="1" applyBorder="1" applyAlignment="1">
      <alignment horizontal="center"/>
    </xf>
    <xf numFmtId="166" fontId="18" fillId="4" borderId="11" xfId="3" applyNumberFormat="1" applyFont="1" applyFill="1" applyBorder="1" applyAlignment="1">
      <alignment horizontal="center"/>
    </xf>
    <xf numFmtId="44" fontId="18" fillId="4" borderId="10" xfId="3" applyNumberFormat="1" applyFont="1" applyFill="1" applyBorder="1" applyAlignment="1">
      <alignment horizontal="center"/>
    </xf>
    <xf numFmtId="0" fontId="18" fillId="4" borderId="10" xfId="3" applyFont="1" applyFill="1" applyBorder="1" applyAlignment="1">
      <alignment horizontal="left" shrinkToFit="1"/>
    </xf>
    <xf numFmtId="0" fontId="18" fillId="4" borderId="10" xfId="3" applyFont="1" applyFill="1" applyBorder="1" applyAlignment="1">
      <alignment horizontal="left" wrapText="1" shrinkToFit="1"/>
    </xf>
    <xf numFmtId="0" fontId="18" fillId="0" borderId="0" xfId="3" applyFont="1" applyAlignment="1">
      <alignment horizontal="center" vertical="center"/>
    </xf>
    <xf numFmtId="0" fontId="21" fillId="4" borderId="10" xfId="3" applyFont="1" applyFill="1" applyBorder="1" applyAlignment="1">
      <alignment horizontal="left" wrapText="1" shrinkToFit="1"/>
    </xf>
    <xf numFmtId="37" fontId="18" fillId="0" borderId="10" xfId="3" applyNumberFormat="1" applyFont="1" applyBorder="1" applyAlignment="1">
      <alignment horizontal="center"/>
    </xf>
    <xf numFmtId="0" fontId="18" fillId="4" borderId="5" xfId="3" applyFont="1" applyFill="1" applyBorder="1" applyAlignment="1">
      <alignment horizontal="left" wrapText="1" shrinkToFit="1"/>
    </xf>
    <xf numFmtId="37" fontId="18" fillId="4" borderId="5" xfId="3" applyNumberFormat="1" applyFont="1" applyFill="1" applyBorder="1" applyAlignment="1">
      <alignment horizontal="center"/>
    </xf>
    <xf numFmtId="0" fontId="18" fillId="4" borderId="12" xfId="3" applyFont="1" applyFill="1" applyBorder="1" applyAlignment="1">
      <alignment horizontal="center"/>
    </xf>
    <xf numFmtId="166" fontId="18" fillId="4" borderId="12" xfId="3" applyNumberFormat="1" applyFont="1" applyFill="1" applyBorder="1" applyAlignment="1">
      <alignment horizontal="center"/>
    </xf>
    <xf numFmtId="44" fontId="18" fillId="4" borderId="5" xfId="3" applyNumberFormat="1" applyFont="1" applyFill="1" applyBorder="1" applyAlignment="1">
      <alignment horizontal="center"/>
    </xf>
    <xf numFmtId="44" fontId="20" fillId="0" borderId="4" xfId="3" applyNumberFormat="1" applyFont="1" applyBorder="1" applyAlignment="1">
      <alignment horizontal="center"/>
    </xf>
    <xf numFmtId="0" fontId="20" fillId="0" borderId="0" xfId="3" applyFont="1"/>
    <xf numFmtId="44" fontId="18" fillId="0" borderId="10" xfId="3" applyNumberFormat="1" applyFont="1" applyBorder="1" applyAlignment="1">
      <alignment horizontal="center"/>
    </xf>
    <xf numFmtId="44" fontId="18" fillId="0" borderId="5" xfId="3" applyNumberFormat="1" applyFont="1" applyBorder="1" applyAlignment="1">
      <alignment horizontal="center"/>
    </xf>
    <xf numFmtId="0" fontId="20" fillId="4" borderId="10" xfId="3" applyFont="1" applyFill="1" applyBorder="1" applyAlignment="1">
      <alignment horizontal="left" wrapText="1" shrinkToFit="1"/>
    </xf>
    <xf numFmtId="37" fontId="20" fillId="4" borderId="10" xfId="3" applyNumberFormat="1" applyFont="1" applyFill="1" applyBorder="1" applyAlignment="1">
      <alignment horizontal="center"/>
    </xf>
    <xf numFmtId="0" fontId="20" fillId="4" borderId="11" xfId="3" applyFont="1" applyFill="1" applyBorder="1" applyAlignment="1">
      <alignment horizontal="center"/>
    </xf>
    <xf numFmtId="166" fontId="20" fillId="4" borderId="11" xfId="3" applyNumberFormat="1" applyFont="1" applyFill="1" applyBorder="1" applyAlignment="1">
      <alignment horizontal="center"/>
    </xf>
    <xf numFmtId="44" fontId="20" fillId="4" borderId="10" xfId="3" applyNumberFormat="1" applyFont="1" applyFill="1" applyBorder="1" applyAlignment="1">
      <alignment horizontal="center"/>
    </xf>
    <xf numFmtId="0" fontId="18" fillId="4" borderId="5" xfId="3" applyFont="1" applyFill="1" applyBorder="1" applyAlignment="1">
      <alignment horizontal="left" shrinkToFit="1"/>
    </xf>
    <xf numFmtId="0" fontId="20" fillId="0" borderId="10" xfId="3" applyFont="1" applyBorder="1" applyAlignment="1">
      <alignment horizontal="left" wrapText="1" shrinkToFit="1"/>
    </xf>
    <xf numFmtId="167" fontId="18" fillId="4" borderId="11" xfId="3" applyNumberFormat="1" applyFont="1" applyFill="1" applyBorder="1" applyAlignment="1">
      <alignment horizontal="center"/>
    </xf>
    <xf numFmtId="44" fontId="18" fillId="0" borderId="0" xfId="3" applyNumberFormat="1" applyFont="1" applyAlignment="1">
      <alignment horizontal="center"/>
    </xf>
    <xf numFmtId="166" fontId="18" fillId="0" borderId="12" xfId="3" applyNumberFormat="1" applyFont="1" applyBorder="1" applyAlignment="1">
      <alignment horizontal="center"/>
    </xf>
    <xf numFmtId="0" fontId="20" fillId="4" borderId="4" xfId="3" applyFont="1" applyFill="1" applyBorder="1" applyAlignment="1">
      <alignment horizontal="left" shrinkToFit="1"/>
    </xf>
    <xf numFmtId="44" fontId="17" fillId="4" borderId="16" xfId="3" applyNumberFormat="1" applyFont="1" applyFill="1" applyBorder="1" applyAlignment="1">
      <alignment horizontal="center"/>
    </xf>
    <xf numFmtId="0" fontId="20" fillId="0" borderId="4" xfId="3" applyFont="1" applyBorder="1" applyAlignment="1">
      <alignment horizontal="left" shrinkToFit="1"/>
    </xf>
    <xf numFmtId="37" fontId="20" fillId="0" borderId="4" xfId="3" applyNumberFormat="1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44" fontId="20" fillId="0" borderId="9" xfId="3" applyNumberFormat="1" applyFont="1" applyBorder="1" applyAlignment="1">
      <alignment horizontal="center"/>
    </xf>
    <xf numFmtId="44" fontId="18" fillId="4" borderId="11" xfId="3" applyNumberFormat="1" applyFont="1" applyFill="1" applyBorder="1" applyAlignment="1">
      <alignment horizontal="center"/>
    </xf>
    <xf numFmtId="37" fontId="18" fillId="0" borderId="0" xfId="3" applyNumberFormat="1" applyFont="1" applyAlignment="1">
      <alignment horizontal="right"/>
    </xf>
    <xf numFmtId="1" fontId="18" fillId="0" borderId="0" xfId="3" applyNumberFormat="1" applyFont="1" applyAlignment="1">
      <alignment horizontal="center"/>
    </xf>
    <xf numFmtId="0" fontId="18" fillId="2" borderId="10" xfId="3" applyFont="1" applyFill="1" applyBorder="1" applyAlignment="1">
      <alignment horizontal="left" shrinkToFit="1"/>
    </xf>
    <xf numFmtId="37" fontId="18" fillId="2" borderId="10" xfId="3" applyNumberFormat="1" applyFont="1" applyFill="1" applyBorder="1" applyAlignment="1">
      <alignment horizontal="center"/>
    </xf>
    <xf numFmtId="0" fontId="18" fillId="2" borderId="11" xfId="3" applyFont="1" applyFill="1" applyBorder="1" applyAlignment="1">
      <alignment horizontal="center"/>
    </xf>
    <xf numFmtId="166" fontId="18" fillId="2" borderId="11" xfId="3" applyNumberFormat="1" applyFont="1" applyFill="1" applyBorder="1" applyAlignment="1">
      <alignment horizontal="center"/>
    </xf>
    <xf numFmtId="44" fontId="18" fillId="2" borderId="10" xfId="3" applyNumberFormat="1" applyFont="1" applyFill="1" applyBorder="1" applyAlignment="1">
      <alignment horizontal="center"/>
    </xf>
    <xf numFmtId="44" fontId="18" fillId="2" borderId="12" xfId="3" applyNumberFormat="1" applyFont="1" applyFill="1" applyBorder="1" applyAlignment="1">
      <alignment horizontal="center"/>
    </xf>
    <xf numFmtId="0" fontId="18" fillId="0" borderId="5" xfId="3" applyFont="1" applyBorder="1" applyAlignment="1">
      <alignment horizontal="left" wrapText="1" shrinkToFit="1"/>
    </xf>
    <xf numFmtId="37" fontId="18" fillId="0" borderId="5" xfId="3" applyNumberFormat="1" applyFont="1" applyBorder="1" applyAlignment="1">
      <alignment horizontal="center"/>
    </xf>
    <xf numFmtId="0" fontId="18" fillId="0" borderId="12" xfId="3" applyFont="1" applyBorder="1" applyAlignment="1">
      <alignment horizontal="center"/>
    </xf>
    <xf numFmtId="0" fontId="18" fillId="2" borderId="10" xfId="3" applyFont="1" applyFill="1" applyBorder="1" applyAlignment="1">
      <alignment horizontal="left" wrapText="1" shrinkToFit="1"/>
    </xf>
    <xf numFmtId="0" fontId="21" fillId="2" borderId="10" xfId="3" applyFont="1" applyFill="1" applyBorder="1" applyAlignment="1">
      <alignment horizontal="left" shrinkToFit="1"/>
    </xf>
    <xf numFmtId="44" fontId="18" fillId="4" borderId="12" xfId="3" applyNumberFormat="1" applyFont="1" applyFill="1" applyBorder="1" applyAlignment="1">
      <alignment horizontal="center"/>
    </xf>
    <xf numFmtId="44" fontId="18" fillId="0" borderId="1" xfId="3" applyNumberFormat="1" applyFont="1" applyBorder="1" applyAlignment="1">
      <alignment horizontal="center"/>
    </xf>
    <xf numFmtId="0" fontId="18" fillId="0" borderId="0" xfId="3" applyFont="1" applyAlignment="1">
      <alignment horizontal="right"/>
    </xf>
    <xf numFmtId="10" fontId="18" fillId="0" borderId="0" xfId="2" applyNumberFormat="1" applyFont="1" applyAlignment="1">
      <alignment horizontal="center"/>
    </xf>
    <xf numFmtId="0" fontId="17" fillId="4" borderId="13" xfId="3" applyFont="1" applyFill="1" applyBorder="1" applyAlignment="1">
      <alignment horizontal="left" wrapText="1" shrinkToFit="1"/>
    </xf>
    <xf numFmtId="0" fontId="17" fillId="4" borderId="14" xfId="3" applyFont="1" applyFill="1" applyBorder="1" applyAlignment="1">
      <alignment horizontal="left" wrapText="1" shrinkToFit="1"/>
    </xf>
    <xf numFmtId="0" fontId="17" fillId="4" borderId="15" xfId="3" applyFont="1" applyFill="1" applyBorder="1" applyAlignment="1">
      <alignment horizontal="left" wrapText="1" shrinkToFit="1"/>
    </xf>
  </cellXfs>
  <cellStyles count="6">
    <cellStyle name="Currency" xfId="1" builtinId="4"/>
    <cellStyle name="Currency 8 2" xfId="4" xr:uid="{1EEB740F-BFCA-4C2C-A985-DFFDDE624A9C}"/>
    <cellStyle name="Normal" xfId="0" builtinId="0"/>
    <cellStyle name="Normal 16 2" xfId="3" xr:uid="{9D3099F9-BB28-485B-84DC-7A952EE9C4B2}"/>
    <cellStyle name="Normal 9" xfId="5" xr:uid="{B0A68A24-2CE5-4353-9047-CD1FFDADAFAA}"/>
    <cellStyle name="Percent" xfId="2" builtinId="5"/>
  </cellStyles>
  <dxfs count="4">
    <dxf>
      <font>
        <b/>
        <i val="0"/>
        <strike/>
        <color rgb="FFFF0000"/>
      </font>
    </dxf>
    <dxf>
      <font>
        <b/>
        <i val="0"/>
        <strike/>
        <color rgb="FFFF0000"/>
      </font>
    </dxf>
    <dxf>
      <font>
        <b/>
        <i val="0"/>
        <strike/>
        <color rgb="FFFF0000"/>
      </font>
    </dxf>
    <dxf>
      <font>
        <b/>
        <i val="0"/>
        <strike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rojects/West/23-01-001%20-%20CoLV%20-%20Downtown%20Civic%20Center%20Building%20and%20Plaza/PRECON-GMP%20DOCUMENTS/GMP%20%233/GMP%203%20R2%20Backsheet%20083023%20(FINAL).xlsm" TargetMode="External"/><Relationship Id="rId2" Type="http://schemas.openxmlformats.org/officeDocument/2006/relationships/externalLinkPath" Target="file:///S:\Projects\West\23-01-001%20-%20CoLV%20-%20Downtown%20Civic%20Center%20Building%20and%20Plaza\PRECON-GMP%20DOCUMENTS\GMP%20%233\GMP%203%20R2%20Backsheet%20083023%20(FINAL).xlsm" TargetMode="External"/><Relationship Id="rId1" Type="http://schemas.openxmlformats.org/officeDocument/2006/relationships/externalLinkPath" Target="/Projects/West/23-01-001%20-%20CoLV%20-%20Downtown%20Civic%20Center%20Building%20and%20Plaza/PRECON-GMP%20DOCUMENTS/GMP%20%233/GMP%203%20R2%20Backsheet%20083023%20(FINAL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ckground lists"/>
      <sheetName val="Menu"/>
      <sheetName val="Summary"/>
      <sheetName val="Specs"/>
      <sheetName val="GMP #1, 2, 3 Summary"/>
      <sheetName val="BackSheet"/>
      <sheetName val="D.B."/>
      <sheetName val="033"/>
      <sheetName val="Scopes + Specs"/>
      <sheetName val="GR's - Full Project"/>
      <sheetName val="GC's R1"/>
      <sheetName val="ROOM (1)"/>
      <sheetName val="ROOM (2)"/>
      <sheetName val="GC's"/>
      <sheetName val="DB Soft Costs"/>
      <sheetName val="VE LOG (Detail)"/>
      <sheetName val="VE LOG (BOE)"/>
      <sheetName val="VE LOG (OFCI-Scope Removal)"/>
      <sheetName val="Viewpoint Import GC"/>
      <sheetName val="Viewpoint Import"/>
      <sheetName val="Phases"/>
      <sheetName val="Contract Items"/>
      <sheetName val="PhasesGC"/>
      <sheetName val="Contract Items GC"/>
      <sheetName val="RGB Colors"/>
      <sheetName val="BR Calc"/>
      <sheetName val="ScratchPad"/>
      <sheetName val="Bid Tally"/>
      <sheetName val="GEN1"/>
      <sheetName val="GEN2"/>
      <sheetName val="GEN3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Curtainwall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</sheetNames>
    <sheetDataSet>
      <sheetData sheetId="0">
        <row r="2">
          <cell r="B2" t="str">
            <v>√</v>
          </cell>
          <cell r="D2" t="str">
            <v>X</v>
          </cell>
          <cell r="F2" t="str">
            <v>1)</v>
          </cell>
          <cell r="G2" t="str">
            <v>Yes</v>
          </cell>
        </row>
        <row r="3">
          <cell r="B3" t="str">
            <v>√+</v>
          </cell>
          <cell r="E3" t="str">
            <v>(NOT IN CONTRACT)</v>
          </cell>
          <cell r="F3" t="str">
            <v>2)</v>
          </cell>
          <cell r="G3" t="str">
            <v>No</v>
          </cell>
          <cell r="J3" t="str">
            <v>01-1100-10000- - (Meeting Supplies)</v>
          </cell>
        </row>
        <row r="4">
          <cell r="B4" t="str">
            <v>O</v>
          </cell>
          <cell r="E4" t="str">
            <v>(NOT APPLICABLE)</v>
          </cell>
          <cell r="F4" t="str">
            <v>3)</v>
          </cell>
          <cell r="J4" t="str">
            <v>01-2001-10000- - (Project Principal)</v>
          </cell>
        </row>
        <row r="5">
          <cell r="B5" t="str">
            <v>?</v>
          </cell>
          <cell r="E5" t="str">
            <v>(SEE LINE #</v>
          </cell>
          <cell r="F5" t="str">
            <v>4)</v>
          </cell>
          <cell r="J5" t="str">
            <v>01-2002-10000- - (Project Director)</v>
          </cell>
        </row>
        <row r="6">
          <cell r="E6" t="str">
            <v>(BY OWNER)</v>
          </cell>
          <cell r="F6" t="str">
            <v>5)</v>
          </cell>
          <cell r="J6" t="str">
            <v>01-2003-10000- - (Senior Project Manager)</v>
          </cell>
        </row>
        <row r="7">
          <cell r="E7" t="str">
            <v>(BY TRADES)</v>
          </cell>
          <cell r="F7" t="str">
            <v>6)</v>
          </cell>
          <cell r="J7" t="str">
            <v>01-2004-10000- - (Project Manager)</v>
          </cell>
        </row>
        <row r="8">
          <cell r="E8" t="str">
            <v>(ALTERNATE #</v>
          </cell>
          <cell r="F8" t="str">
            <v>7)</v>
          </cell>
          <cell r="J8" t="str">
            <v>01-2005-10000- - (Ass't Project Manager)</v>
          </cell>
        </row>
        <row r="9">
          <cell r="E9" t="str">
            <v>(ADJACENT WAYS)</v>
          </cell>
          <cell r="F9" t="str">
            <v>8)</v>
          </cell>
          <cell r="J9" t="str">
            <v>01-2006-10000- - (Scheduler)</v>
          </cell>
        </row>
        <row r="10">
          <cell r="E10" t="str">
            <v>(FF&amp;E)</v>
          </cell>
          <cell r="F10" t="str">
            <v>9)</v>
          </cell>
          <cell r="J10" t="str">
            <v>01-2007-10000- - (Project Coordination)</v>
          </cell>
        </row>
        <row r="11">
          <cell r="E11" t="str">
            <v>(NONE FOUND)</v>
          </cell>
          <cell r="F11" t="str">
            <v>10)</v>
          </cell>
          <cell r="J11" t="str">
            <v>01-2008-10000- - (Information Techonology)</v>
          </cell>
        </row>
        <row r="12">
          <cell r="E12" t="str">
            <v>(SFB)</v>
          </cell>
          <cell r="F12" t="str">
            <v>11)</v>
          </cell>
          <cell r="J12" t="str">
            <v>01-2009-10000- - (Intern)</v>
          </cell>
        </row>
        <row r="13">
          <cell r="F13" t="str">
            <v>12)</v>
          </cell>
          <cell r="J13" t="str">
            <v>01-2010-10000- - (Director of Field Operations)</v>
          </cell>
        </row>
        <row r="14">
          <cell r="F14" t="str">
            <v>13)</v>
          </cell>
          <cell r="J14" t="str">
            <v>01-2011-10000- - (Senior Proj. Superintendent)</v>
          </cell>
        </row>
        <row r="15">
          <cell r="F15" t="str">
            <v>14)</v>
          </cell>
          <cell r="J15" t="str">
            <v>01-2012-10000- - (Project Superintendent)</v>
          </cell>
        </row>
        <row r="16">
          <cell r="F16" t="str">
            <v>15)</v>
          </cell>
          <cell r="J16" t="str">
            <v>01-2013-10000- - (Assistant Superintendent)</v>
          </cell>
        </row>
        <row r="17">
          <cell r="F17" t="str">
            <v>16)</v>
          </cell>
          <cell r="J17" t="str">
            <v>01-2014-10000- - (Safety Director)</v>
          </cell>
        </row>
        <row r="18">
          <cell r="F18" t="str">
            <v>17)</v>
          </cell>
          <cell r="J18" t="str">
            <v>01-2015-10000- - (Project Carpenter)</v>
          </cell>
        </row>
        <row r="19">
          <cell r="F19" t="str">
            <v>18)</v>
          </cell>
          <cell r="J19" t="str">
            <v>01-2016-10000- - (Project Laborer)</v>
          </cell>
        </row>
        <row r="20">
          <cell r="F20" t="str">
            <v>19)</v>
          </cell>
          <cell r="J20" t="str">
            <v>01-2017-10000- - (Project Accountant)</v>
          </cell>
        </row>
        <row r="21">
          <cell r="F21" t="str">
            <v>20)</v>
          </cell>
          <cell r="J21" t="str">
            <v>01-2018-10000- - (Project Legal Administrator)</v>
          </cell>
        </row>
        <row r="22">
          <cell r="F22" t="str">
            <v>21)</v>
          </cell>
          <cell r="J22" t="str">
            <v>01-2019-10000- - (Warranty Supervision)</v>
          </cell>
        </row>
        <row r="23">
          <cell r="F23" t="str">
            <v>22)</v>
          </cell>
          <cell r="J23" t="str">
            <v>01-2020-10000- - (Punchlist Superintendent)</v>
          </cell>
        </row>
        <row r="24">
          <cell r="F24" t="str">
            <v>23)</v>
          </cell>
          <cell r="J24" t="str">
            <v>01-2021-10000- - (Spare Labor)</v>
          </cell>
        </row>
        <row r="25">
          <cell r="F25" t="str">
            <v>24)</v>
          </cell>
          <cell r="J25" t="str">
            <v>01-2022-10000- - (Spare Labor)</v>
          </cell>
        </row>
        <row r="26">
          <cell r="F26" t="str">
            <v>25)</v>
          </cell>
          <cell r="J26" t="str">
            <v>01-2023-10000- - (Spare Labor)</v>
          </cell>
        </row>
        <row r="27">
          <cell r="F27" t="str">
            <v>26)</v>
          </cell>
          <cell r="J27" t="str">
            <v>01-2024-10000- - (Spare Labor)</v>
          </cell>
        </row>
        <row r="28">
          <cell r="F28" t="str">
            <v>27)</v>
          </cell>
          <cell r="J28" t="str">
            <v>01-2025-10000- - (Spare Labor)</v>
          </cell>
        </row>
        <row r="29">
          <cell r="F29" t="str">
            <v>28)</v>
          </cell>
          <cell r="J29" t="str">
            <v>01-2026-10000- - (Spare Labor)</v>
          </cell>
        </row>
        <row r="30">
          <cell r="F30" t="str">
            <v>29)</v>
          </cell>
          <cell r="J30" t="str">
            <v>01-2027-10000- - (Spare Labor)</v>
          </cell>
        </row>
        <row r="31">
          <cell r="F31" t="str">
            <v>30)</v>
          </cell>
          <cell r="J31" t="str">
            <v>01-2028-10000- - (Spare Labor)</v>
          </cell>
        </row>
        <row r="32">
          <cell r="F32" t="str">
            <v>31)</v>
          </cell>
          <cell r="J32" t="str">
            <v>01-2029-10000- - (Spare Labor)</v>
          </cell>
        </row>
        <row r="33">
          <cell r="F33" t="str">
            <v>32)</v>
          </cell>
          <cell r="J33" t="str">
            <v>01-2030-10000- - (Vehicle Expenses)</v>
          </cell>
        </row>
        <row r="34">
          <cell r="F34" t="str">
            <v>33)</v>
          </cell>
          <cell r="J34" t="str">
            <v>01-2031-10000- - (Main Office Delivery)</v>
          </cell>
        </row>
        <row r="35">
          <cell r="F35" t="str">
            <v>34)</v>
          </cell>
          <cell r="J35" t="str">
            <v>01-2032-10000 - (Water Truck Driver)</v>
          </cell>
        </row>
        <row r="36">
          <cell r="F36" t="str">
            <v>35)</v>
          </cell>
          <cell r="J36" t="str">
            <v>01-2035-10000- - (Tire repairs)</v>
          </cell>
        </row>
        <row r="37">
          <cell r="F37" t="str">
            <v>36)</v>
          </cell>
          <cell r="J37" t="str">
            <v>01-2060-10000- - (Employment Fees)</v>
          </cell>
        </row>
        <row r="38">
          <cell r="F38" t="str">
            <v>37)</v>
          </cell>
          <cell r="J38" t="str">
            <v>01-2160-10000- - (Blueprinting, Schedule, As-Builts)</v>
          </cell>
        </row>
        <row r="39">
          <cell r="F39" t="str">
            <v>38)</v>
          </cell>
          <cell r="J39" t="str">
            <v>01-2170-10000- - (Photographs)</v>
          </cell>
        </row>
        <row r="40">
          <cell r="F40" t="str">
            <v>39)</v>
          </cell>
          <cell r="J40" t="str">
            <v>01-2175-10000- - (Real Time Video Camera)</v>
          </cell>
        </row>
        <row r="41">
          <cell r="F41" t="str">
            <v>40)</v>
          </cell>
          <cell r="J41" t="str">
            <v>01-2180-10000- - (Security (Guard))</v>
          </cell>
        </row>
        <row r="42">
          <cell r="F42" t="str">
            <v>41)</v>
          </cell>
          <cell r="J42" t="str">
            <v>01-2190-10000- - (Snow Removal)</v>
          </cell>
        </row>
        <row r="43">
          <cell r="F43" t="str">
            <v>42)</v>
          </cell>
          <cell r="J43" t="str">
            <v>01-2195-10000- - (Layout &amp; Batter Boards/ CORE)</v>
          </cell>
        </row>
        <row r="44">
          <cell r="F44" t="str">
            <v>43)</v>
          </cell>
          <cell r="J44" t="str">
            <v>01-2220-10000- - (Room &amp; Board)</v>
          </cell>
        </row>
        <row r="45">
          <cell r="F45" t="str">
            <v>44)</v>
          </cell>
          <cell r="J45" t="str">
            <v>01-2250-10000- - (Moving / Relocation Expense)</v>
          </cell>
        </row>
        <row r="46">
          <cell r="F46" t="str">
            <v>45)</v>
          </cell>
          <cell r="J46" t="str">
            <v>01-2300-10000- - (Air Travel)</v>
          </cell>
        </row>
        <row r="47">
          <cell r="F47" t="str">
            <v>46)</v>
          </cell>
          <cell r="J47" t="str">
            <v>01-2700-10000- - (Legal Fees)</v>
          </cell>
        </row>
        <row r="48">
          <cell r="F48" t="str">
            <v>47)</v>
          </cell>
          <cell r="J48" t="str">
            <v>01-2800-10000- - (Accounting/Audit Fees)</v>
          </cell>
        </row>
        <row r="49">
          <cell r="F49" t="str">
            <v>48)</v>
          </cell>
          <cell r="J49" t="str">
            <v>01-2850-10000- - (Textura Fee)</v>
          </cell>
        </row>
        <row r="50">
          <cell r="F50" t="str">
            <v>49)</v>
          </cell>
          <cell r="J50" t="str">
            <v>01-2900-10000- - (Misc. Job Labor)</v>
          </cell>
        </row>
        <row r="51">
          <cell r="F51" t="str">
            <v>50)</v>
          </cell>
          <cell r="J51" t="str">
            <v>01-2901-10000- - (Misc GC Job Carpentry)</v>
          </cell>
        </row>
        <row r="52">
          <cell r="F52" t="str">
            <v>51)</v>
          </cell>
          <cell r="J52" t="str">
            <v>01-2910-10000- - (Misc. Job Material)</v>
          </cell>
        </row>
        <row r="53">
          <cell r="F53" t="str">
            <v>53)</v>
          </cell>
          <cell r="J53" t="str">
            <v>01-2920-10000- - (Misc. Other Req'ts)</v>
          </cell>
        </row>
        <row r="54">
          <cell r="F54" t="str">
            <v>54)</v>
          </cell>
          <cell r="J54" t="str">
            <v>01-4010-10000- - (Architect Fees)</v>
          </cell>
        </row>
        <row r="55">
          <cell r="F55" t="str">
            <v>55)</v>
          </cell>
          <cell r="J55" t="str">
            <v>01-5010-10000- - (Temporary Storage)</v>
          </cell>
        </row>
        <row r="56">
          <cell r="F56" t="str">
            <v>56)</v>
          </cell>
          <cell r="J56" t="str">
            <v>01-5015-10000- - (Trailer Mobilize/Demob)</v>
          </cell>
        </row>
        <row r="57">
          <cell r="F57" t="str">
            <v>57)</v>
          </cell>
          <cell r="J57" t="str">
            <v>01-5020-10000- - (Trailer Rent)</v>
          </cell>
        </row>
        <row r="58">
          <cell r="F58" t="str">
            <v>58)</v>
          </cell>
          <cell r="J58" t="str">
            <v>01-5021-10000- - (Trailer Equipment/Supplies)</v>
          </cell>
        </row>
        <row r="59">
          <cell r="F59" t="str">
            <v>59)</v>
          </cell>
          <cell r="J59" t="str">
            <v>01-5022-10000- - (Field Office - Spare)</v>
          </cell>
        </row>
        <row r="60">
          <cell r="F60" t="str">
            <v>60)</v>
          </cell>
          <cell r="J60" t="str">
            <v>01-5023-10000- - (Field Office - Spare)</v>
          </cell>
        </row>
        <row r="61">
          <cell r="F61" t="str">
            <v>61)</v>
          </cell>
          <cell r="J61" t="str">
            <v>01-5030-10000- - (Job Toilet)</v>
          </cell>
        </row>
        <row r="62">
          <cell r="F62" t="str">
            <v>62)</v>
          </cell>
          <cell r="J62" t="str">
            <v>01-5040-10000- - (Dust Partitions)</v>
          </cell>
        </row>
        <row r="63">
          <cell r="F63" t="str">
            <v>63)</v>
          </cell>
          <cell r="J63" t="str">
            <v>01-5050-10000- - (Hoisting)</v>
          </cell>
        </row>
        <row r="64">
          <cell r="F64" t="str">
            <v>64)</v>
          </cell>
          <cell r="J64" t="str">
            <v>01-5060-10000- - (Temporary Fencing)</v>
          </cell>
        </row>
        <row r="65">
          <cell r="F65" t="str">
            <v>65)</v>
          </cell>
          <cell r="J65" t="str">
            <v>01-5065-10000- - (Security)</v>
          </cell>
        </row>
        <row r="66">
          <cell r="F66" t="str">
            <v>66)</v>
          </cell>
          <cell r="J66" t="str">
            <v>01-5070-10000- - (Tree/ Plant Protect)</v>
          </cell>
        </row>
        <row r="67">
          <cell r="F67" t="str">
            <v>67)</v>
          </cell>
          <cell r="J67" t="str">
            <v>01-5080-10000- - (Temporary Stairs)</v>
          </cell>
        </row>
        <row r="68">
          <cell r="F68" t="str">
            <v>68)</v>
          </cell>
          <cell r="J68" t="str">
            <v>01-5090-10000- - (Guardrails)</v>
          </cell>
        </row>
        <row r="69">
          <cell r="F69" t="str">
            <v>69)</v>
          </cell>
          <cell r="J69" t="str">
            <v>01-5100-10000- - (Barricades)</v>
          </cell>
        </row>
        <row r="70">
          <cell r="F70" t="str">
            <v>70)</v>
          </cell>
          <cell r="J70" t="str">
            <v>01-5110-10000- - (Access Road)</v>
          </cell>
        </row>
        <row r="71">
          <cell r="F71" t="str">
            <v>71)</v>
          </cell>
          <cell r="J71" t="str">
            <v>01-5120-10000- - (Project Identification)</v>
          </cell>
        </row>
        <row r="72">
          <cell r="F72" t="str">
            <v>72)</v>
          </cell>
          <cell r="J72" t="str">
            <v>01-5135-10000- - (Building Start up Electric)</v>
          </cell>
        </row>
        <row r="73">
          <cell r="F73" t="str">
            <v>73)</v>
          </cell>
          <cell r="J73" t="str">
            <v>01-5140-10000- - (Temp. Production Electricity)</v>
          </cell>
        </row>
        <row r="74">
          <cell r="F74" t="str">
            <v>74)</v>
          </cell>
          <cell r="J74" t="str">
            <v>01-5160-10000- - (Mobile/Cell Service)</v>
          </cell>
        </row>
        <row r="75">
          <cell r="F75" t="str">
            <v>75)</v>
          </cell>
          <cell r="J75" t="str">
            <v>01-5170-10000- - (Construction Water)</v>
          </cell>
        </row>
        <row r="76">
          <cell r="F76" t="str">
            <v>76)</v>
          </cell>
          <cell r="J76" t="str">
            <v>01-5180-10000- - (Temporary Walls)</v>
          </cell>
        </row>
        <row r="77">
          <cell r="F77" t="str">
            <v>77)</v>
          </cell>
          <cell r="J77" t="str">
            <v>01-5185-10000- - (Temporary Enclosures)</v>
          </cell>
        </row>
        <row r="78">
          <cell r="F78" t="str">
            <v>78)</v>
          </cell>
          <cell r="J78" t="str">
            <v>01-5200-10000- - (Heat After Enclosure)</v>
          </cell>
        </row>
        <row r="79">
          <cell r="F79" t="str">
            <v>79)</v>
          </cell>
          <cell r="J79" t="str">
            <v>01-5230-10000- - (Temp. Cooling)</v>
          </cell>
        </row>
        <row r="80">
          <cell r="F80" t="str">
            <v>80)</v>
          </cell>
          <cell r="J80" t="str">
            <v>01-5235-10000- - (Temporary Lighting)</v>
          </cell>
        </row>
        <row r="81">
          <cell r="F81" t="str">
            <v>81)</v>
          </cell>
          <cell r="J81" t="str">
            <v>01-5240-10000- - (Trailer Drinking Water)</v>
          </cell>
        </row>
        <row r="82">
          <cell r="F82" t="str">
            <v>82)</v>
          </cell>
          <cell r="J82" t="str">
            <v>01-5260-10000- - (Weekly Cleanup)</v>
          </cell>
        </row>
        <row r="83">
          <cell r="F83" t="str">
            <v>83)</v>
          </cell>
          <cell r="J83" t="str">
            <v>01-5270-10000- - (Dumpsters)</v>
          </cell>
        </row>
        <row r="84">
          <cell r="F84" t="str">
            <v>84)</v>
          </cell>
          <cell r="J84" t="str">
            <v>01-5280-10000- - (Rubbish Removal)</v>
          </cell>
        </row>
        <row r="85">
          <cell r="F85" t="str">
            <v>85)</v>
          </cell>
          <cell r="J85" t="str">
            <v>01-5300-10000- - (Dust Control)</v>
          </cell>
        </row>
        <row r="86">
          <cell r="F86" t="str">
            <v>86)</v>
          </cell>
          <cell r="J86" t="str">
            <v>01-5301-10000- - (Dust Control - Water Truck)</v>
          </cell>
        </row>
        <row r="87">
          <cell r="F87" t="str">
            <v>87)</v>
          </cell>
          <cell r="J87" t="str">
            <v>01-5302-10000- - (Dust Control - Permits)</v>
          </cell>
        </row>
        <row r="88">
          <cell r="F88" t="str">
            <v>88)</v>
          </cell>
          <cell r="J88" t="str">
            <v>01-5303-10000- - (Stormwater Prevention Plan)</v>
          </cell>
        </row>
        <row r="89">
          <cell r="F89" t="str">
            <v>89)</v>
          </cell>
          <cell r="J89" t="str">
            <v>01-5350-10000- - (Dress - Up &amp; Reseed)</v>
          </cell>
        </row>
        <row r="90">
          <cell r="F90" t="str">
            <v>90)</v>
          </cell>
          <cell r="J90" t="str">
            <v>01-6000-10000- - (Submittal Exchange)</v>
          </cell>
        </row>
        <row r="91">
          <cell r="F91" t="str">
            <v>91)</v>
          </cell>
          <cell r="J91" t="str">
            <v>01-6001-10000- - (Multivista)</v>
          </cell>
        </row>
        <row r="92">
          <cell r="F92" t="str">
            <v>92)</v>
          </cell>
          <cell r="J92" t="str">
            <v>01-6002-10000- - (Digital Plan Room)</v>
          </cell>
        </row>
        <row r="93">
          <cell r="F93" t="str">
            <v>93)</v>
          </cell>
          <cell r="J93" t="str">
            <v>01-6020-10000- - (Interior Scaffolding)</v>
          </cell>
        </row>
        <row r="94">
          <cell r="F94" t="str">
            <v>94)</v>
          </cell>
          <cell r="J94" t="str">
            <v>01-6030-10000- - (Unload Mat'l)</v>
          </cell>
        </row>
        <row r="95">
          <cell r="F95" t="str">
            <v>95)</v>
          </cell>
          <cell r="J95" t="str">
            <v>01-6035-10000- - (Forklift)</v>
          </cell>
        </row>
        <row r="96">
          <cell r="F96" t="str">
            <v>96)</v>
          </cell>
          <cell r="J96" t="str">
            <v>01-6040-10000- - (Mat'l Protection)</v>
          </cell>
        </row>
        <row r="97">
          <cell r="F97" t="str">
            <v>97)</v>
          </cell>
          <cell r="J97" t="str">
            <v>01-6045-10000- - (Street Sweeper)</v>
          </cell>
        </row>
        <row r="98">
          <cell r="F98" t="str">
            <v>98)</v>
          </cell>
          <cell r="J98" t="str">
            <v>01-6060-10000- - (Special Equip.)</v>
          </cell>
        </row>
        <row r="99">
          <cell r="F99" t="str">
            <v>99)</v>
          </cell>
          <cell r="J99" t="str">
            <v>01-6065-10000- - (Promotional)</v>
          </cell>
        </row>
        <row r="100">
          <cell r="F100" t="str">
            <v>100)</v>
          </cell>
          <cell r="J100" t="str">
            <v>01-6070-10000- - (Safety Equipment)</v>
          </cell>
        </row>
        <row r="101">
          <cell r="F101" t="str">
            <v>101)</v>
          </cell>
          <cell r="J101" t="str">
            <v>01-6075-10000- - (Safety - Contract Service)</v>
          </cell>
        </row>
        <row r="102">
          <cell r="F102" t="str">
            <v>102)</v>
          </cell>
          <cell r="J102" t="str">
            <v>01-6080-10000- - (Small Tools)</v>
          </cell>
        </row>
        <row r="103">
          <cell r="F103" t="str">
            <v>103)</v>
          </cell>
          <cell r="J103" t="str">
            <v>01-6100-10000- - (Shoring)</v>
          </cell>
        </row>
        <row r="104">
          <cell r="F104" t="str">
            <v>104)</v>
          </cell>
          <cell r="J104" t="str">
            <v>01-7010-10000- - (Detail &amp; Close - Out)</v>
          </cell>
        </row>
        <row r="105">
          <cell r="F105" t="str">
            <v>105)</v>
          </cell>
          <cell r="J105" t="str">
            <v>01-8050-10000- - (Gas Co. Charges)</v>
          </cell>
        </row>
        <row r="106">
          <cell r="F106" t="str">
            <v>106)</v>
          </cell>
          <cell r="J106" t="str">
            <v>01-8100-10000- - (Underground Conflicts)</v>
          </cell>
        </row>
        <row r="107">
          <cell r="F107" t="str">
            <v>107)</v>
          </cell>
          <cell r="J107" t="str">
            <v>01-9000-10000- - (Gen &amp; Admin Labor Allocated)</v>
          </cell>
        </row>
        <row r="108">
          <cell r="F108" t="str">
            <v>108)</v>
          </cell>
          <cell r="J108" t="str">
            <v>01-9500-10000- - (Preconstruction Costs Allocate)</v>
          </cell>
        </row>
        <row r="109">
          <cell r="F109" t="str">
            <v>109)</v>
          </cell>
          <cell r="J109" t="str">
            <v>60-1210-10000 - (Virtual Construction Director)</v>
          </cell>
        </row>
        <row r="110">
          <cell r="F110" t="str">
            <v>110)</v>
          </cell>
          <cell r="J110" t="str">
            <v>60-1215-10000 - (Virtual Construction Manager)</v>
          </cell>
        </row>
        <row r="111">
          <cell r="F111" t="str">
            <v>111)</v>
          </cell>
        </row>
        <row r="112">
          <cell r="F112" t="str">
            <v>112)</v>
          </cell>
        </row>
        <row r="113">
          <cell r="F113" t="str">
            <v>113)</v>
          </cell>
        </row>
        <row r="114">
          <cell r="F114" t="str">
            <v>114)</v>
          </cell>
        </row>
        <row r="115">
          <cell r="F115" t="str">
            <v>115)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>
        <row r="140">
          <cell r="H140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opLeftCell="A28" zoomScale="85" zoomScaleNormal="85" zoomScalePageLayoutView="90" workbookViewId="0">
      <selection activeCell="G39" sqref="G39"/>
    </sheetView>
  </sheetViews>
  <sheetFormatPr defaultRowHeight="15" x14ac:dyDescent="0.25"/>
  <cols>
    <col min="1" max="1" width="15.42578125" customWidth="1"/>
    <col min="2" max="2" width="9" bestFit="1" customWidth="1"/>
    <col min="3" max="3" width="7.7109375" customWidth="1"/>
    <col min="4" max="4" width="40.140625" bestFit="1" customWidth="1"/>
    <col min="5" max="8" width="10.7109375" customWidth="1"/>
    <col min="9" max="9" width="17" customWidth="1"/>
    <col min="10" max="10" width="10.140625" customWidth="1"/>
    <col min="11" max="11" width="10.140625" hidden="1" customWidth="1"/>
    <col min="12" max="12" width="10.5703125" customWidth="1"/>
    <col min="13" max="13" width="10.85546875" hidden="1" customWidth="1"/>
    <col min="14" max="14" width="14.140625" customWidth="1"/>
    <col min="15" max="15" width="16.7109375" hidden="1" customWidth="1"/>
    <col min="16" max="16" width="24.42578125" customWidth="1"/>
    <col min="17" max="18" width="9.140625" customWidth="1"/>
  </cols>
  <sheetData>
    <row r="1" spans="1:17" ht="20.25" x14ac:dyDescent="0.3">
      <c r="A1" s="10" t="s">
        <v>132</v>
      </c>
      <c r="B1" s="10" t="s">
        <v>136</v>
      </c>
      <c r="C1" s="12"/>
      <c r="D1" s="12"/>
      <c r="E1" s="12"/>
      <c r="F1" s="12"/>
      <c r="G1" s="12"/>
      <c r="H1" s="12"/>
      <c r="I1" s="17" t="s">
        <v>134</v>
      </c>
      <c r="J1" s="17"/>
      <c r="K1" s="17"/>
      <c r="L1" s="18">
        <f>((P2-P1)/365)*12</f>
        <v>31.824657534246576</v>
      </c>
      <c r="M1" s="12"/>
      <c r="N1" s="2"/>
      <c r="O1" s="21" t="s">
        <v>75</v>
      </c>
      <c r="P1" s="23">
        <v>46881</v>
      </c>
    </row>
    <row r="2" spans="1:17" ht="20.25" x14ac:dyDescent="0.3">
      <c r="A2" s="10"/>
      <c r="B2" s="10"/>
      <c r="C2" s="12"/>
      <c r="D2" s="12"/>
      <c r="E2" s="12"/>
      <c r="F2" s="12"/>
      <c r="G2" s="12"/>
      <c r="H2" s="12"/>
      <c r="I2" s="17" t="s">
        <v>135</v>
      </c>
      <c r="J2" s="17"/>
      <c r="K2" s="17"/>
      <c r="L2" s="19">
        <f>(P2-P1)/7</f>
        <v>138.28571428571428</v>
      </c>
      <c r="M2" s="12"/>
      <c r="N2" s="2"/>
      <c r="O2" s="21" t="s">
        <v>76</v>
      </c>
      <c r="P2" s="23">
        <v>47849</v>
      </c>
    </row>
    <row r="3" spans="1:17" ht="20.25" x14ac:dyDescent="0.3">
      <c r="A3" s="10"/>
      <c r="B3" s="10"/>
      <c r="C3" s="12"/>
      <c r="D3" s="12"/>
      <c r="E3" s="12"/>
      <c r="F3" s="12"/>
      <c r="G3" s="12"/>
      <c r="H3" s="12"/>
      <c r="I3" s="17"/>
      <c r="J3" s="17"/>
      <c r="K3" s="17"/>
      <c r="L3" s="19"/>
      <c r="M3" s="12"/>
      <c r="N3" s="2"/>
      <c r="O3" s="21" t="s">
        <v>131</v>
      </c>
      <c r="P3" s="49">
        <v>200000000</v>
      </c>
    </row>
    <row r="4" spans="1:17" ht="84.75" x14ac:dyDescent="0.3">
      <c r="A4" s="11" t="s">
        <v>10</v>
      </c>
      <c r="B4" s="13" t="s">
        <v>83</v>
      </c>
      <c r="C4" s="13" t="s">
        <v>22</v>
      </c>
      <c r="D4" s="11" t="s">
        <v>11</v>
      </c>
      <c r="E4" s="6" t="s">
        <v>21</v>
      </c>
      <c r="F4" s="6" t="s">
        <v>133</v>
      </c>
      <c r="G4" s="6" t="s">
        <v>91</v>
      </c>
      <c r="H4" s="32" t="s">
        <v>90</v>
      </c>
      <c r="I4" s="6" t="s">
        <v>34</v>
      </c>
      <c r="J4" s="6" t="s">
        <v>77</v>
      </c>
      <c r="K4" s="6" t="s">
        <v>78</v>
      </c>
      <c r="L4" s="6" t="s">
        <v>92</v>
      </c>
      <c r="M4" s="6" t="s">
        <v>4</v>
      </c>
      <c r="N4" s="6" t="s">
        <v>24</v>
      </c>
      <c r="O4" s="51" t="s">
        <v>12</v>
      </c>
      <c r="P4" s="51" t="s">
        <v>23</v>
      </c>
    </row>
    <row r="5" spans="1:17" ht="17.25" customHeight="1" x14ac:dyDescent="0.3">
      <c r="A5" s="1" t="s">
        <v>13</v>
      </c>
      <c r="B5" s="1"/>
      <c r="C5" s="1"/>
      <c r="D5" s="1" t="s">
        <v>18</v>
      </c>
      <c r="E5" s="25"/>
      <c r="F5" s="25"/>
      <c r="G5" s="5"/>
      <c r="H5" s="5"/>
      <c r="I5" s="5"/>
      <c r="J5" s="5"/>
      <c r="K5" s="26"/>
      <c r="L5" s="5"/>
      <c r="M5" s="7">
        <f>L5+K5</f>
        <v>0</v>
      </c>
      <c r="N5" s="7"/>
      <c r="O5" s="52">
        <f>E5-M5</f>
        <v>0</v>
      </c>
      <c r="P5" s="53"/>
    </row>
    <row r="6" spans="1:17" ht="17.25" hidden="1" customHeight="1" x14ac:dyDescent="0.3">
      <c r="A6" s="1" t="s">
        <v>104</v>
      </c>
      <c r="B6" s="1"/>
      <c r="C6" s="22"/>
      <c r="D6" s="1" t="s">
        <v>105</v>
      </c>
      <c r="E6" s="25"/>
      <c r="F6" s="55"/>
      <c r="G6" s="28"/>
      <c r="H6" s="28"/>
      <c r="I6" s="47"/>
      <c r="J6" s="31">
        <f t="shared" ref="J6:J14" si="0">(IF(H6="",$P$2,H6)-IF(G6="",$P$1,G6))/7</f>
        <v>138.28571428571428</v>
      </c>
      <c r="K6" s="26"/>
      <c r="L6" s="5"/>
      <c r="M6" s="7"/>
      <c r="N6" s="7"/>
      <c r="O6" s="52"/>
      <c r="P6" s="53"/>
    </row>
    <row r="7" spans="1:17" ht="17.25" hidden="1" customHeight="1" x14ac:dyDescent="0.3">
      <c r="A7" s="1" t="s">
        <v>106</v>
      </c>
      <c r="B7" s="1"/>
      <c r="C7" s="22"/>
      <c r="D7" s="1" t="s">
        <v>107</v>
      </c>
      <c r="E7" s="25"/>
      <c r="F7" s="55"/>
      <c r="G7" s="28"/>
      <c r="H7" s="28"/>
      <c r="I7" s="47"/>
      <c r="J7" s="31">
        <f t="shared" si="0"/>
        <v>138.28571428571428</v>
      </c>
      <c r="K7" s="26"/>
      <c r="L7" s="5"/>
      <c r="M7" s="7"/>
      <c r="N7" s="7"/>
      <c r="O7" s="52"/>
      <c r="P7" s="53"/>
    </row>
    <row r="8" spans="1:17" ht="17.25" hidden="1" customHeight="1" x14ac:dyDescent="0.3">
      <c r="A8" s="1" t="s">
        <v>108</v>
      </c>
      <c r="B8" s="1"/>
      <c r="C8" s="22">
        <f>220+13</f>
        <v>233</v>
      </c>
      <c r="D8" s="1" t="s">
        <v>109</v>
      </c>
      <c r="E8" s="25"/>
      <c r="F8" s="55"/>
      <c r="G8" s="28"/>
      <c r="H8" s="28"/>
      <c r="I8" s="47"/>
      <c r="J8" s="31">
        <f t="shared" si="0"/>
        <v>138.28571428571428</v>
      </c>
      <c r="K8" s="26"/>
      <c r="L8" s="5"/>
      <c r="M8" s="7"/>
      <c r="N8" s="7"/>
      <c r="O8" s="52"/>
      <c r="P8" s="53"/>
    </row>
    <row r="9" spans="1:17" ht="17.25" customHeight="1" x14ac:dyDescent="0.3">
      <c r="A9" s="1" t="s">
        <v>58</v>
      </c>
      <c r="B9" s="1"/>
      <c r="C9" s="22">
        <f>165+13</f>
        <v>178</v>
      </c>
      <c r="D9" s="1" t="s">
        <v>84</v>
      </c>
      <c r="E9" s="25"/>
      <c r="F9" s="56">
        <f>M9/C9</f>
        <v>5531.4285714285716</v>
      </c>
      <c r="G9" s="16"/>
      <c r="H9" s="16"/>
      <c r="I9" s="24">
        <v>40</v>
      </c>
      <c r="J9" s="9">
        <f t="shared" si="0"/>
        <v>138.28571428571428</v>
      </c>
      <c r="K9" s="5"/>
      <c r="L9" s="5">
        <f>(C9*I9*J9)</f>
        <v>984594.28571428568</v>
      </c>
      <c r="M9" s="7">
        <f>L9+K9</f>
        <v>984594.28571428568</v>
      </c>
      <c r="N9" s="5">
        <f t="shared" ref="N9:N24" si="1">M9/$L$1</f>
        <v>30938.095238095237</v>
      </c>
      <c r="O9" s="52">
        <f>E9-M9</f>
        <v>-984594.28571428568</v>
      </c>
      <c r="P9" s="53"/>
      <c r="Q9" s="15"/>
    </row>
    <row r="10" spans="1:17" ht="17.25" customHeight="1" x14ac:dyDescent="0.3">
      <c r="A10" s="1" t="s">
        <v>85</v>
      </c>
      <c r="B10" s="1"/>
      <c r="C10" s="22">
        <f>130+13</f>
        <v>143</v>
      </c>
      <c r="D10" s="1" t="s">
        <v>0</v>
      </c>
      <c r="E10" s="5"/>
      <c r="F10" s="56">
        <f t="shared" ref="F10:F29" si="2">M10/C10</f>
        <v>5531.4285714285716</v>
      </c>
      <c r="G10" s="16"/>
      <c r="H10" s="16"/>
      <c r="I10" s="24">
        <v>40</v>
      </c>
      <c r="J10" s="9">
        <f t="shared" si="0"/>
        <v>138.28571428571428</v>
      </c>
      <c r="K10" s="5"/>
      <c r="L10" s="5">
        <f t="shared" ref="L10:L30" si="3">(C10*I10*J10)</f>
        <v>790994.28571428568</v>
      </c>
      <c r="M10" s="7">
        <f t="shared" ref="M10:M30" si="4">L10+K10</f>
        <v>790994.28571428568</v>
      </c>
      <c r="N10" s="5">
        <f t="shared" ref="N10" si="5">M10/$L$1</f>
        <v>24854.761904761905</v>
      </c>
      <c r="O10" s="52">
        <f t="shared" ref="O10:O30" si="6">E10-M10</f>
        <v>-790994.28571428568</v>
      </c>
      <c r="P10" s="53"/>
    </row>
    <row r="11" spans="1:17" ht="17.25" customHeight="1" x14ac:dyDescent="0.3">
      <c r="A11" s="1" t="s">
        <v>49</v>
      </c>
      <c r="B11" s="1"/>
      <c r="C11" s="22">
        <f>110+13</f>
        <v>123</v>
      </c>
      <c r="D11" s="1" t="s">
        <v>50</v>
      </c>
      <c r="E11" s="25"/>
      <c r="F11" s="56">
        <f t="shared" si="2"/>
        <v>5531.4285714285706</v>
      </c>
      <c r="G11" s="16"/>
      <c r="H11" s="16"/>
      <c r="I11" s="24">
        <v>40</v>
      </c>
      <c r="J11" s="9">
        <f t="shared" si="0"/>
        <v>138.28571428571428</v>
      </c>
      <c r="K11" s="5"/>
      <c r="L11" s="5">
        <f t="shared" si="3"/>
        <v>680365.7142857142</v>
      </c>
      <c r="M11" s="7">
        <f t="shared" si="4"/>
        <v>680365.7142857142</v>
      </c>
      <c r="N11" s="5">
        <f t="shared" si="1"/>
        <v>21378.571428571424</v>
      </c>
      <c r="O11" s="52">
        <f t="shared" si="6"/>
        <v>-680365.7142857142</v>
      </c>
      <c r="P11" s="53"/>
    </row>
    <row r="12" spans="1:17" ht="17.25" customHeight="1" x14ac:dyDescent="0.3">
      <c r="A12" s="1" t="s">
        <v>121</v>
      </c>
      <c r="B12" s="1"/>
      <c r="C12" s="22">
        <f>95+13</f>
        <v>108</v>
      </c>
      <c r="D12" s="1" t="s">
        <v>100</v>
      </c>
      <c r="E12" s="5"/>
      <c r="F12" s="56">
        <f>M12/C12</f>
        <v>5531.4285714285716</v>
      </c>
      <c r="G12" s="16"/>
      <c r="H12" s="16"/>
      <c r="I12" s="24">
        <v>40</v>
      </c>
      <c r="J12" s="9">
        <f>(IF(H12="",$P$2,H12)-IF(G12="",$P$1,G12))/7</f>
        <v>138.28571428571428</v>
      </c>
      <c r="K12" s="5"/>
      <c r="L12" s="5">
        <f t="shared" ref="L12" si="7">(C12*I12*J12)</f>
        <v>597394.28571428568</v>
      </c>
      <c r="M12" s="7">
        <f t="shared" ref="M12" si="8">L12+K12</f>
        <v>597394.28571428568</v>
      </c>
      <c r="N12" s="5">
        <f t="shared" ref="N12" si="9">M12/$L$1</f>
        <v>18771.428571428569</v>
      </c>
      <c r="O12" s="52">
        <f t="shared" ref="O12" si="10">E12-M12</f>
        <v>-597394.28571428568</v>
      </c>
      <c r="P12" s="53"/>
    </row>
    <row r="13" spans="1:17" ht="17.25" customHeight="1" x14ac:dyDescent="0.3">
      <c r="A13" s="1" t="s">
        <v>79</v>
      </c>
      <c r="B13" s="1"/>
      <c r="C13" s="22">
        <f>95+13</f>
        <v>108</v>
      </c>
      <c r="D13" s="1" t="s">
        <v>143</v>
      </c>
      <c r="E13" s="5"/>
      <c r="F13" s="56">
        <f t="shared" si="2"/>
        <v>5531.4285714285716</v>
      </c>
      <c r="G13" s="16"/>
      <c r="H13" s="16"/>
      <c r="I13" s="24">
        <v>40</v>
      </c>
      <c r="J13" s="9">
        <f t="shared" si="0"/>
        <v>138.28571428571428</v>
      </c>
      <c r="K13" s="5"/>
      <c r="L13" s="5">
        <f t="shared" si="3"/>
        <v>597394.28571428568</v>
      </c>
      <c r="M13" s="7">
        <f t="shared" si="4"/>
        <v>597394.28571428568</v>
      </c>
      <c r="N13" s="5">
        <f>M13/$L$1</f>
        <v>18771.428571428569</v>
      </c>
      <c r="O13" s="52">
        <f t="shared" si="6"/>
        <v>-597394.28571428568</v>
      </c>
      <c r="P13" s="53"/>
    </row>
    <row r="14" spans="1:17" ht="17.25" customHeight="1" x14ac:dyDescent="0.3">
      <c r="A14" s="1" t="s">
        <v>5</v>
      </c>
      <c r="B14" s="1"/>
      <c r="C14" s="22">
        <v>50</v>
      </c>
      <c r="D14" s="1" t="s">
        <v>89</v>
      </c>
      <c r="E14" s="25"/>
      <c r="F14" s="56">
        <f t="shared" si="2"/>
        <v>5531.4285714285716</v>
      </c>
      <c r="G14" s="16"/>
      <c r="H14" s="5"/>
      <c r="I14" s="24">
        <v>40</v>
      </c>
      <c r="J14" s="9">
        <f t="shared" si="0"/>
        <v>138.28571428571428</v>
      </c>
      <c r="K14" s="5"/>
      <c r="L14" s="5">
        <f t="shared" si="3"/>
        <v>276571.42857142858</v>
      </c>
      <c r="M14" s="7">
        <f t="shared" si="4"/>
        <v>276571.42857142858</v>
      </c>
      <c r="N14" s="5">
        <f t="shared" si="1"/>
        <v>8690.4761904761908</v>
      </c>
      <c r="O14" s="52">
        <f t="shared" si="6"/>
        <v>-276571.42857142858</v>
      </c>
      <c r="P14" s="53"/>
    </row>
    <row r="15" spans="1:17" ht="17.25" customHeight="1" x14ac:dyDescent="0.3">
      <c r="A15" s="1" t="s">
        <v>120</v>
      </c>
      <c r="B15" s="1"/>
      <c r="C15" s="22">
        <f>165+13</f>
        <v>178</v>
      </c>
      <c r="D15" s="1" t="s">
        <v>87</v>
      </c>
      <c r="E15" s="5"/>
      <c r="F15" s="56">
        <f t="shared" si="2"/>
        <v>5531.4285714285716</v>
      </c>
      <c r="G15" s="5"/>
      <c r="H15" s="5"/>
      <c r="I15" s="24">
        <v>40</v>
      </c>
      <c r="J15" s="9">
        <f t="shared" ref="J15:J30" si="11">(IF(H15="",$P$2,H15)-IF(G15="",$P$1,G15))/7</f>
        <v>138.28571428571428</v>
      </c>
      <c r="K15" s="5"/>
      <c r="L15" s="5">
        <f t="shared" ref="L15:L16" si="12">(C15*I15*J15)</f>
        <v>984594.28571428568</v>
      </c>
      <c r="M15" s="7">
        <f t="shared" ref="M15:M16" si="13">L15+K15</f>
        <v>984594.28571428568</v>
      </c>
      <c r="N15" s="5">
        <f t="shared" si="1"/>
        <v>30938.095238095237</v>
      </c>
      <c r="O15" s="52">
        <f t="shared" ref="O15:O16" si="14">E15-M15</f>
        <v>-984594.28571428568</v>
      </c>
      <c r="P15" s="54"/>
    </row>
    <row r="16" spans="1:17" ht="17.25" customHeight="1" x14ac:dyDescent="0.3">
      <c r="A16" s="1" t="s">
        <v>88</v>
      </c>
      <c r="B16" s="1"/>
      <c r="C16" s="22">
        <f>130+13</f>
        <v>143</v>
      </c>
      <c r="D16" s="1" t="s">
        <v>138</v>
      </c>
      <c r="E16" s="25"/>
      <c r="F16" s="56">
        <f t="shared" si="2"/>
        <v>5531.4285714285716</v>
      </c>
      <c r="G16" s="16"/>
      <c r="H16" s="5"/>
      <c r="I16" s="24">
        <v>40</v>
      </c>
      <c r="J16" s="9">
        <f t="shared" ref="J16" si="15">(IF(H16="",$P$2,H16)-IF(G16="",$P$1,G16))/7</f>
        <v>138.28571428571428</v>
      </c>
      <c r="K16" s="5"/>
      <c r="L16" s="5">
        <f t="shared" si="12"/>
        <v>790994.28571428568</v>
      </c>
      <c r="M16" s="7">
        <f t="shared" si="13"/>
        <v>790994.28571428568</v>
      </c>
      <c r="N16" s="5">
        <f t="shared" ref="N16" si="16">M16/$L$1</f>
        <v>24854.761904761905</v>
      </c>
      <c r="O16" s="52">
        <f t="shared" si="14"/>
        <v>-790994.28571428568</v>
      </c>
      <c r="P16" s="54"/>
    </row>
    <row r="17" spans="1:17" ht="17.25" customHeight="1" x14ac:dyDescent="0.3">
      <c r="A17" s="1" t="s">
        <v>6</v>
      </c>
      <c r="B17" s="1"/>
      <c r="C17" s="22">
        <f>110+13</f>
        <v>123</v>
      </c>
      <c r="D17" s="1" t="s">
        <v>137</v>
      </c>
      <c r="E17" s="25"/>
      <c r="F17" s="56">
        <f t="shared" si="2"/>
        <v>5531.4285714285706</v>
      </c>
      <c r="G17" s="16"/>
      <c r="H17" s="5"/>
      <c r="I17" s="24">
        <v>40</v>
      </c>
      <c r="J17" s="9">
        <f t="shared" si="11"/>
        <v>138.28571428571428</v>
      </c>
      <c r="K17" s="5"/>
      <c r="L17" s="5">
        <f t="shared" si="3"/>
        <v>680365.7142857142</v>
      </c>
      <c r="M17" s="7">
        <f t="shared" si="4"/>
        <v>680365.7142857142</v>
      </c>
      <c r="N17" s="5">
        <f t="shared" si="1"/>
        <v>21378.571428571424</v>
      </c>
      <c r="O17" s="52">
        <f t="shared" si="6"/>
        <v>-680365.7142857142</v>
      </c>
      <c r="P17" s="53"/>
    </row>
    <row r="18" spans="1:17" ht="17.25" customHeight="1" x14ac:dyDescent="0.3">
      <c r="A18" s="1" t="s">
        <v>6</v>
      </c>
      <c r="B18" s="1"/>
      <c r="C18" s="22">
        <v>143</v>
      </c>
      <c r="D18" s="1" t="s">
        <v>141</v>
      </c>
      <c r="E18" s="25"/>
      <c r="F18" s="56">
        <f t="shared" si="2"/>
        <v>3137.1428571428573</v>
      </c>
      <c r="G18" s="16">
        <v>47300</v>
      </c>
      <c r="H18" s="5"/>
      <c r="I18" s="24">
        <v>40</v>
      </c>
      <c r="J18" s="9">
        <f t="shared" ref="J18" si="17">(IF(H18="",$P$2,H18)-IF(G18="",$P$1,G18))/7</f>
        <v>78.428571428571431</v>
      </c>
      <c r="K18" s="5"/>
      <c r="L18" s="5">
        <f t="shared" ref="L18" si="18">(C18*I18*J18)</f>
        <v>448611.42857142858</v>
      </c>
      <c r="M18" s="7">
        <f t="shared" ref="M18" si="19">L18+K18</f>
        <v>448611.42857142858</v>
      </c>
      <c r="N18" s="5">
        <f t="shared" ref="N18" si="20">M18/$L$1</f>
        <v>14096.347402597403</v>
      </c>
      <c r="O18" s="52">
        <f t="shared" ref="O18" si="21">E18-M18</f>
        <v>-448611.42857142858</v>
      </c>
      <c r="P18" s="53"/>
    </row>
    <row r="19" spans="1:17" ht="17.25" customHeight="1" x14ac:dyDescent="0.3">
      <c r="A19" s="1" t="s">
        <v>119</v>
      </c>
      <c r="B19" s="1"/>
      <c r="C19" s="22">
        <f>130+13</f>
        <v>143</v>
      </c>
      <c r="D19" s="1" t="s">
        <v>139</v>
      </c>
      <c r="E19" s="25"/>
      <c r="F19" s="56">
        <f>M19/C19</f>
        <v>4520</v>
      </c>
      <c r="G19" s="16">
        <v>47058</v>
      </c>
      <c r="H19" s="5"/>
      <c r="I19" s="24">
        <v>40</v>
      </c>
      <c r="J19" s="9">
        <f t="shared" si="11"/>
        <v>113</v>
      </c>
      <c r="K19" s="5"/>
      <c r="L19" s="5">
        <f t="shared" si="3"/>
        <v>646360</v>
      </c>
      <c r="M19" s="7">
        <f>L19+K19</f>
        <v>646360</v>
      </c>
      <c r="N19" s="5">
        <f>M19/$L$1</f>
        <v>20310.03787878788</v>
      </c>
      <c r="O19" s="52">
        <f>E19-M19</f>
        <v>-646360</v>
      </c>
      <c r="P19" s="54"/>
    </row>
    <row r="20" spans="1:17" ht="17.25" customHeight="1" x14ac:dyDescent="0.3">
      <c r="A20" s="1"/>
      <c r="B20" s="1"/>
      <c r="C20" s="22">
        <v>123</v>
      </c>
      <c r="D20" s="1" t="s">
        <v>140</v>
      </c>
      <c r="E20" s="25"/>
      <c r="F20" s="56"/>
      <c r="G20" s="16">
        <v>47319</v>
      </c>
      <c r="H20" s="5"/>
      <c r="I20" s="24">
        <v>40</v>
      </c>
      <c r="J20" s="9">
        <f t="shared" si="11"/>
        <v>75.714285714285708</v>
      </c>
      <c r="K20" s="5"/>
      <c r="L20" s="5">
        <f t="shared" si="3"/>
        <v>372514.28571428568</v>
      </c>
      <c r="M20" s="7">
        <f>L20+K20</f>
        <v>372514.28571428568</v>
      </c>
      <c r="N20" s="5">
        <f>M20/$L$1</f>
        <v>11705.209563164108</v>
      </c>
      <c r="O20" s="52">
        <f>E20-M20</f>
        <v>-372514.28571428568</v>
      </c>
      <c r="P20" s="54"/>
    </row>
    <row r="21" spans="1:17" ht="17.25" customHeight="1" x14ac:dyDescent="0.3">
      <c r="A21" s="1" t="s">
        <v>8</v>
      </c>
      <c r="B21" s="1"/>
      <c r="C21" s="22">
        <f>90+13</f>
        <v>103</v>
      </c>
      <c r="D21" s="1" t="s">
        <v>115</v>
      </c>
      <c r="E21" s="5"/>
      <c r="F21" s="56">
        <v>800</v>
      </c>
      <c r="G21" s="16"/>
      <c r="H21" s="16"/>
      <c r="I21" s="24">
        <v>8</v>
      </c>
      <c r="J21" s="9">
        <f t="shared" si="11"/>
        <v>138.28571428571428</v>
      </c>
      <c r="K21" s="5"/>
      <c r="L21" s="5">
        <f t="shared" si="3"/>
        <v>113947.42857142857</v>
      </c>
      <c r="M21" s="7">
        <f t="shared" si="4"/>
        <v>113947.42857142857</v>
      </c>
      <c r="N21" s="5">
        <f>M21/$L$1</f>
        <v>3580.4761904761904</v>
      </c>
      <c r="O21" s="52">
        <f t="shared" si="6"/>
        <v>-113947.42857142857</v>
      </c>
      <c r="P21" s="53"/>
    </row>
    <row r="22" spans="1:17" ht="17.25" customHeight="1" x14ac:dyDescent="0.3">
      <c r="A22" s="1" t="s">
        <v>80</v>
      </c>
      <c r="B22" s="1"/>
      <c r="C22" s="22">
        <f>90+13</f>
        <v>103</v>
      </c>
      <c r="D22" s="1" t="s">
        <v>114</v>
      </c>
      <c r="E22" s="25"/>
      <c r="F22" s="56">
        <v>800</v>
      </c>
      <c r="G22" s="27"/>
      <c r="H22" s="27"/>
      <c r="I22" s="24">
        <v>8</v>
      </c>
      <c r="J22" s="30">
        <f t="shared" ref="J22" si="22">(IF(H22="",$P$2,H22)-IF(G22="",$P$1,G22))/7</f>
        <v>138.28571428571428</v>
      </c>
      <c r="K22" s="5"/>
      <c r="L22" s="5">
        <f t="shared" ref="L22" si="23">(C22*I22*J22)</f>
        <v>113947.42857142857</v>
      </c>
      <c r="M22" s="7">
        <f t="shared" ref="M22" si="24">L22+K22</f>
        <v>113947.42857142857</v>
      </c>
      <c r="N22" s="5">
        <f t="shared" ref="N22" si="25">M22/$L$1</f>
        <v>3580.4761904761904</v>
      </c>
      <c r="O22" s="52">
        <f t="shared" ref="O22" si="26">E22-M22</f>
        <v>-113947.42857142857</v>
      </c>
      <c r="P22" s="53"/>
    </row>
    <row r="23" spans="1:17" ht="17.25" customHeight="1" x14ac:dyDescent="0.3">
      <c r="A23" s="1" t="s">
        <v>81</v>
      </c>
      <c r="B23" s="1"/>
      <c r="C23" s="22">
        <f>90+13</f>
        <v>103</v>
      </c>
      <c r="D23" s="1" t="s">
        <v>37</v>
      </c>
      <c r="E23" s="25"/>
      <c r="F23" s="56">
        <f t="shared" si="2"/>
        <v>553.14285714285711</v>
      </c>
      <c r="G23" s="27"/>
      <c r="H23" s="27"/>
      <c r="I23" s="24">
        <v>4</v>
      </c>
      <c r="J23" s="30">
        <f t="shared" si="11"/>
        <v>138.28571428571428</v>
      </c>
      <c r="K23" s="5"/>
      <c r="L23" s="5">
        <f t="shared" si="3"/>
        <v>56973.714285714283</v>
      </c>
      <c r="M23" s="7">
        <f t="shared" si="4"/>
        <v>56973.714285714283</v>
      </c>
      <c r="N23" s="5">
        <f t="shared" si="1"/>
        <v>1790.2380952380952</v>
      </c>
      <c r="O23" s="52">
        <f t="shared" si="6"/>
        <v>-56973.714285714283</v>
      </c>
      <c r="P23" s="53"/>
    </row>
    <row r="24" spans="1:17" ht="17.25" customHeight="1" x14ac:dyDescent="0.3">
      <c r="A24" s="1" t="s">
        <v>113</v>
      </c>
      <c r="B24" s="1"/>
      <c r="C24" s="22">
        <f>90+13</f>
        <v>103</v>
      </c>
      <c r="D24" s="1" t="s">
        <v>74</v>
      </c>
      <c r="E24" s="5"/>
      <c r="F24" s="56">
        <f t="shared" si="2"/>
        <v>553.14285714285711</v>
      </c>
      <c r="G24" s="5"/>
      <c r="H24" s="5"/>
      <c r="I24" s="24">
        <v>4</v>
      </c>
      <c r="J24" s="30">
        <f t="shared" ref="J24" si="27">(IF(H24="",$P$2,H24)-IF(G24="",$P$1,G24))/7</f>
        <v>138.28571428571428</v>
      </c>
      <c r="K24" s="5"/>
      <c r="L24" s="5">
        <f t="shared" si="3"/>
        <v>56973.714285714283</v>
      </c>
      <c r="M24" s="7">
        <f t="shared" si="4"/>
        <v>56973.714285714283</v>
      </c>
      <c r="N24" s="5">
        <f t="shared" si="1"/>
        <v>1790.2380952380952</v>
      </c>
      <c r="O24" s="52">
        <f t="shared" si="6"/>
        <v>-56973.714285714283</v>
      </c>
      <c r="P24" s="53"/>
    </row>
    <row r="25" spans="1:17" ht="17.25" customHeight="1" x14ac:dyDescent="0.3">
      <c r="A25" s="1" t="s">
        <v>9</v>
      </c>
      <c r="B25" s="1"/>
      <c r="C25" s="22">
        <v>70</v>
      </c>
      <c r="D25" s="1" t="s">
        <v>103</v>
      </c>
      <c r="E25" s="25"/>
      <c r="F25" s="56">
        <f t="shared" si="2"/>
        <v>553.14285714285711</v>
      </c>
      <c r="G25" s="5"/>
      <c r="H25" s="5"/>
      <c r="I25" s="24">
        <v>4</v>
      </c>
      <c r="J25" s="30">
        <f t="shared" ref="J25" si="28">(IF(H25="",$P$2,H25)-IF(G25="",$P$1,G25))/7</f>
        <v>138.28571428571428</v>
      </c>
      <c r="K25" s="5"/>
      <c r="L25" s="5">
        <f t="shared" ref="L25" si="29">(C25*I25*J25)</f>
        <v>38720</v>
      </c>
      <c r="M25" s="7">
        <f t="shared" ref="M25" si="30">L25+K25</f>
        <v>38720</v>
      </c>
      <c r="N25" s="5">
        <f t="shared" ref="N25" si="31">M25/$L$1</f>
        <v>1216.6666666666667</v>
      </c>
      <c r="O25" s="52">
        <f t="shared" ref="O25" si="32">E25-M25</f>
        <v>-38720</v>
      </c>
      <c r="P25" s="53"/>
    </row>
    <row r="26" spans="1:17" ht="17.25" customHeight="1" x14ac:dyDescent="0.3">
      <c r="A26" s="1" t="s">
        <v>36</v>
      </c>
      <c r="B26" s="1"/>
      <c r="C26" s="22">
        <f>130+13</f>
        <v>143</v>
      </c>
      <c r="D26" s="1" t="s">
        <v>142</v>
      </c>
      <c r="E26" s="5"/>
      <c r="F26" s="56">
        <f t="shared" si="2"/>
        <v>553.14285714285711</v>
      </c>
      <c r="G26" s="5"/>
      <c r="H26" s="5"/>
      <c r="I26" s="24">
        <v>4</v>
      </c>
      <c r="J26" s="30">
        <f t="shared" ref="J26" si="33">(IF(H26="",$P$2,H26)-IF(G26="",$P$1,G26))/7</f>
        <v>138.28571428571428</v>
      </c>
      <c r="K26" s="5"/>
      <c r="L26" s="5">
        <f t="shared" ref="L26" si="34">(C26*I26*J26)</f>
        <v>79099.428571428565</v>
      </c>
      <c r="M26" s="7">
        <f t="shared" ref="M26" si="35">L26+K26</f>
        <v>79099.428571428565</v>
      </c>
      <c r="N26" s="5">
        <f>M26/$L$1</f>
        <v>2485.4761904761904</v>
      </c>
      <c r="O26" s="52">
        <f t="shared" ref="O26" si="36">E26-M26</f>
        <v>-79099.428571428565</v>
      </c>
      <c r="P26" s="53"/>
    </row>
    <row r="27" spans="1:17" ht="17.25" customHeight="1" x14ac:dyDescent="0.3">
      <c r="A27" s="1" t="s">
        <v>112</v>
      </c>
      <c r="B27" s="1"/>
      <c r="C27" s="22">
        <f>115+13</f>
        <v>128</v>
      </c>
      <c r="D27" s="1" t="s">
        <v>101</v>
      </c>
      <c r="E27" s="5"/>
      <c r="F27" s="56">
        <f t="shared" si="2"/>
        <v>236.57142857142858</v>
      </c>
      <c r="G27" s="27"/>
      <c r="H27" s="57">
        <v>47088</v>
      </c>
      <c r="I27" s="24">
        <v>8</v>
      </c>
      <c r="J27" s="30">
        <f>(IF(H27="",$P$2,H27)-IF(G27="",$P$1,G27))/7</f>
        <v>29.571428571428573</v>
      </c>
      <c r="K27" s="5"/>
      <c r="L27" s="5">
        <f>(C27*I27*J27)</f>
        <v>30281.142857142859</v>
      </c>
      <c r="M27" s="7">
        <f>L27+K27</f>
        <v>30281.142857142859</v>
      </c>
      <c r="N27" s="5">
        <f>M27/$L$1</f>
        <v>951.49940968122792</v>
      </c>
      <c r="O27" s="52">
        <f>E27-M27</f>
        <v>-30281.142857142859</v>
      </c>
      <c r="P27" s="53"/>
    </row>
    <row r="28" spans="1:17" ht="17.25" customHeight="1" x14ac:dyDescent="0.3">
      <c r="A28" s="1" t="s">
        <v>110</v>
      </c>
      <c r="B28" s="1"/>
      <c r="C28" s="22">
        <f>180+13</f>
        <v>193</v>
      </c>
      <c r="D28" s="1" t="s">
        <v>35</v>
      </c>
      <c r="E28" s="5"/>
      <c r="F28" s="56">
        <f t="shared" si="2"/>
        <v>1106.2857142857142</v>
      </c>
      <c r="G28" s="16"/>
      <c r="H28" s="16"/>
      <c r="I28" s="24">
        <v>8</v>
      </c>
      <c r="J28" s="9">
        <f>(IF(H28="",$P$2,H28)-IF(G28="",$P$1,G28))/7</f>
        <v>138.28571428571428</v>
      </c>
      <c r="K28" s="5"/>
      <c r="L28" s="5">
        <f>(C28*I28*J28)</f>
        <v>213513.14285714284</v>
      </c>
      <c r="M28" s="7">
        <f>L28+K28</f>
        <v>213513.14285714284</v>
      </c>
      <c r="N28" s="5">
        <f>M28/$L$1</f>
        <v>6709.0476190476184</v>
      </c>
      <c r="O28" s="52">
        <f>E28-M28</f>
        <v>-213513.14285714284</v>
      </c>
      <c r="P28" s="53"/>
    </row>
    <row r="29" spans="1:17" ht="17.25" customHeight="1" x14ac:dyDescent="0.3">
      <c r="A29" s="1" t="s">
        <v>59</v>
      </c>
      <c r="B29" s="1"/>
      <c r="C29" s="22">
        <f>180+13</f>
        <v>193</v>
      </c>
      <c r="D29" s="1" t="s">
        <v>102</v>
      </c>
      <c r="E29" s="5"/>
      <c r="F29" s="56">
        <f t="shared" si="2"/>
        <v>1106.2857142857142</v>
      </c>
      <c r="G29" s="33"/>
      <c r="H29" s="33"/>
      <c r="I29" s="29">
        <v>8</v>
      </c>
      <c r="J29" s="31">
        <f>(IF(H29="",$P$2,H29)-IF(G29="",$P$1,G29))/7</f>
        <v>138.28571428571428</v>
      </c>
      <c r="K29" s="5"/>
      <c r="L29" s="5">
        <f>(C29*I29*J29)</f>
        <v>213513.14285714284</v>
      </c>
      <c r="M29" s="7">
        <f>L29+K29</f>
        <v>213513.14285714284</v>
      </c>
      <c r="N29" s="5">
        <f t="shared" ref="N29" si="37">M29/$L$1</f>
        <v>6709.0476190476184</v>
      </c>
      <c r="O29" s="52">
        <f>E29-M29</f>
        <v>-213513.14285714284</v>
      </c>
      <c r="P29" s="53"/>
      <c r="Q29" s="15"/>
    </row>
    <row r="30" spans="1:17" ht="17.25" hidden="1" customHeight="1" x14ac:dyDescent="0.3">
      <c r="A30" s="1" t="s">
        <v>60</v>
      </c>
      <c r="B30" s="1"/>
      <c r="C30" s="22">
        <f>190+13</f>
        <v>203</v>
      </c>
      <c r="D30" s="1" t="s">
        <v>111</v>
      </c>
      <c r="E30" s="25"/>
      <c r="F30" s="25"/>
      <c r="G30" s="16"/>
      <c r="H30" s="5"/>
      <c r="I30" s="24">
        <v>0</v>
      </c>
      <c r="J30" s="9">
        <f t="shared" si="11"/>
        <v>138.28571428571428</v>
      </c>
      <c r="K30" s="5"/>
      <c r="L30" s="5">
        <f t="shared" si="3"/>
        <v>0</v>
      </c>
      <c r="M30" s="7">
        <f t="shared" si="4"/>
        <v>0</v>
      </c>
      <c r="N30" s="14">
        <f>M30/$L$1</f>
        <v>0</v>
      </c>
      <c r="O30" s="52">
        <f t="shared" si="6"/>
        <v>0</v>
      </c>
      <c r="P30" s="53"/>
    </row>
    <row r="31" spans="1:17" ht="17.25" hidden="1" customHeight="1" x14ac:dyDescent="0.3">
      <c r="A31" s="1" t="s">
        <v>61</v>
      </c>
      <c r="B31" s="1"/>
      <c r="C31" s="22"/>
      <c r="D31" s="1" t="s">
        <v>116</v>
      </c>
      <c r="E31" s="25"/>
      <c r="F31" s="25"/>
      <c r="G31" s="16"/>
      <c r="H31" s="5"/>
      <c r="I31" s="24"/>
      <c r="J31" s="30"/>
      <c r="K31" s="26"/>
      <c r="L31" s="5"/>
      <c r="M31" s="7"/>
      <c r="N31" s="14"/>
      <c r="O31" s="52"/>
      <c r="P31" s="53"/>
    </row>
    <row r="32" spans="1:17" ht="17.25" hidden="1" customHeight="1" x14ac:dyDescent="0.3">
      <c r="A32" s="1" t="s">
        <v>117</v>
      </c>
      <c r="B32" s="1"/>
      <c r="C32" s="22"/>
      <c r="D32" s="1" t="s">
        <v>116</v>
      </c>
      <c r="E32" s="25"/>
      <c r="F32" s="25"/>
      <c r="G32" s="16"/>
      <c r="H32" s="5"/>
      <c r="I32" s="24"/>
      <c r="J32" s="30"/>
      <c r="K32" s="26"/>
      <c r="L32" s="5"/>
      <c r="M32" s="7"/>
      <c r="N32" s="14"/>
      <c r="O32" s="52"/>
      <c r="P32" s="53"/>
    </row>
    <row r="33" spans="1:16" ht="17.25" hidden="1" customHeight="1" x14ac:dyDescent="0.3">
      <c r="A33" s="1" t="s">
        <v>118</v>
      </c>
      <c r="B33" s="1"/>
      <c r="C33" s="22"/>
      <c r="D33" s="1" t="s">
        <v>116</v>
      </c>
      <c r="E33" s="25"/>
      <c r="F33" s="25"/>
      <c r="G33" s="16"/>
      <c r="H33" s="5"/>
      <c r="I33" s="24"/>
      <c r="J33" s="30"/>
      <c r="K33" s="26"/>
      <c r="L33" s="5"/>
      <c r="M33" s="7"/>
      <c r="N33" s="14"/>
      <c r="O33" s="52"/>
      <c r="P33" s="53"/>
    </row>
    <row r="34" spans="1:16" ht="17.25" hidden="1" customHeight="1" x14ac:dyDescent="0.3">
      <c r="A34" s="1" t="s">
        <v>26</v>
      </c>
      <c r="B34" s="1"/>
      <c r="C34" s="22">
        <v>0</v>
      </c>
      <c r="D34" s="1" t="s">
        <v>27</v>
      </c>
      <c r="E34" s="25"/>
      <c r="F34" s="25"/>
      <c r="G34" s="5"/>
      <c r="H34" s="5"/>
      <c r="I34" s="46">
        <f>I29*J29+(J9*I9)+(J10*I10)+(J11*I11)+(J13*I13)+(J17*I17)+(J19*I19)+(J28*I28)+(J30*I30)+(J27*I27)+(I26*J26)+(I31*J31)+(I32*J32)+(I33*J33)+(I16*J16)+(I15*J15)+(I12*J12)</f>
        <v>51773.71428571429</v>
      </c>
      <c r="J34" s="30"/>
      <c r="K34" s="26"/>
      <c r="L34" s="5">
        <f>C34*I34</f>
        <v>0</v>
      </c>
      <c r="M34" s="7">
        <f>L34+K34</f>
        <v>0</v>
      </c>
      <c r="N34" s="7"/>
      <c r="O34" s="52">
        <f>E34-M34</f>
        <v>0</v>
      </c>
      <c r="P34" s="53"/>
    </row>
    <row r="35" spans="1:16" ht="17.25" customHeight="1" x14ac:dyDescent="0.3">
      <c r="A35" s="1" t="s">
        <v>32</v>
      </c>
      <c r="B35" s="1"/>
      <c r="C35" s="22">
        <v>1</v>
      </c>
      <c r="D35" s="1" t="s">
        <v>33</v>
      </c>
      <c r="E35" s="25"/>
      <c r="F35" s="25"/>
      <c r="G35" s="5"/>
      <c r="H35" s="5"/>
      <c r="I35" s="46">
        <f>I29*J29+I15*J15+I23*J23+I24*J24+I25*J25+(J10*I10)+(J11*I11)+(J13*I13)+(J14*I14)+(J18*I18)+(J19*I19)+(J21*I21)+(J28*I28)+(J30*I30)+(J27*I27)+(I12*J12)+(I16*J16)+(I17*J17)+(I20*J20)+(I22*J22)+(I26*J26)+(I31*J31)+(I32*J32)+(I33*J33)</f>
        <v>61811.428571428572</v>
      </c>
      <c r="J35" s="31"/>
      <c r="K35" s="26"/>
      <c r="L35" s="5">
        <f>C35*I35</f>
        <v>61811.428571428572</v>
      </c>
      <c r="M35" s="7">
        <f t="shared" ref="M35" si="38">L35+K35</f>
        <v>61811.428571428572</v>
      </c>
      <c r="N35" s="7"/>
      <c r="O35" s="3">
        <f t="shared" ref="O35" si="39">E35-M35</f>
        <v>-61811.428571428572</v>
      </c>
      <c r="P35" s="2"/>
    </row>
    <row r="36" spans="1:16" ht="17.25" customHeight="1" x14ac:dyDescent="0.3">
      <c r="A36" s="1"/>
      <c r="B36" s="1"/>
      <c r="C36" s="1">
        <v>500</v>
      </c>
      <c r="D36" s="1" t="s">
        <v>29</v>
      </c>
      <c r="E36" s="25"/>
      <c r="F36" s="25"/>
      <c r="G36" s="5"/>
      <c r="H36" s="5"/>
      <c r="I36" s="5"/>
      <c r="J36" s="9">
        <f>(P$2-P$1)/30</f>
        <v>32.266666666666666</v>
      </c>
      <c r="K36" s="26">
        <v>0</v>
      </c>
      <c r="L36" s="5">
        <f>J36*C36</f>
        <v>16133.333333333332</v>
      </c>
      <c r="M36" s="7">
        <f t="shared" ref="M36:M51" si="40">L36-K36</f>
        <v>16133.333333333332</v>
      </c>
      <c r="N36" s="5">
        <f t="shared" ref="N36:N51" si="41">M36/$L$1</f>
        <v>506.9444444444444</v>
      </c>
      <c r="O36" s="3">
        <f t="shared" ref="O36:O52" si="42">E36-M36</f>
        <v>-16133.333333333332</v>
      </c>
      <c r="P36" s="2"/>
    </row>
    <row r="37" spans="1:16" ht="17.25" customHeight="1" x14ac:dyDescent="0.3">
      <c r="A37" s="1"/>
      <c r="B37" s="1"/>
      <c r="C37" s="1">
        <v>500</v>
      </c>
      <c r="D37" s="1" t="s">
        <v>123</v>
      </c>
      <c r="E37" s="25"/>
      <c r="F37" s="25"/>
      <c r="G37" s="5"/>
      <c r="H37" s="5"/>
      <c r="I37" s="5"/>
      <c r="J37" s="9">
        <f>(P$2-P$1)/30</f>
        <v>32.266666666666666</v>
      </c>
      <c r="K37" s="26">
        <v>0</v>
      </c>
      <c r="L37" s="5">
        <f>J37*C37</f>
        <v>16133.333333333332</v>
      </c>
      <c r="M37" s="7">
        <f t="shared" si="40"/>
        <v>16133.333333333332</v>
      </c>
      <c r="N37" s="5">
        <f t="shared" si="41"/>
        <v>506.9444444444444</v>
      </c>
      <c r="O37" s="3">
        <f t="shared" si="42"/>
        <v>-16133.333333333332</v>
      </c>
      <c r="P37" s="2"/>
    </row>
    <row r="38" spans="1:16" ht="17.25" customHeight="1" x14ac:dyDescent="0.3">
      <c r="A38" s="1"/>
      <c r="B38" s="1"/>
      <c r="C38" s="1">
        <v>2.0000000000000001E-4</v>
      </c>
      <c r="D38" s="1" t="s">
        <v>38</v>
      </c>
      <c r="E38" s="25"/>
      <c r="F38" s="25"/>
      <c r="G38" s="5"/>
      <c r="H38" s="5"/>
      <c r="I38" s="50">
        <f>P$3</f>
        <v>200000000</v>
      </c>
      <c r="J38" s="5"/>
      <c r="K38" s="26">
        <v>0</v>
      </c>
      <c r="L38" s="5">
        <f>C38*I38</f>
        <v>40000</v>
      </c>
      <c r="M38" s="7">
        <f t="shared" si="40"/>
        <v>40000</v>
      </c>
      <c r="N38" s="5">
        <f t="shared" si="41"/>
        <v>1256.8870523415978</v>
      </c>
      <c r="O38" s="3">
        <f t="shared" si="42"/>
        <v>-40000</v>
      </c>
      <c r="P38" s="2"/>
    </row>
    <row r="39" spans="1:16" ht="17.25" customHeight="1" x14ac:dyDescent="0.3">
      <c r="A39" s="1"/>
      <c r="B39" s="1"/>
      <c r="C39" s="1">
        <v>2.7999999999999998E-4</v>
      </c>
      <c r="D39" s="1" t="s">
        <v>144</v>
      </c>
      <c r="E39" s="25"/>
      <c r="F39" s="25"/>
      <c r="G39" s="5"/>
      <c r="H39" s="5"/>
      <c r="I39" s="50">
        <f t="shared" ref="I39:I40" si="43">P$3</f>
        <v>200000000</v>
      </c>
      <c r="J39" s="5"/>
      <c r="K39" s="26">
        <v>0</v>
      </c>
      <c r="L39" s="5">
        <f t="shared" ref="L39:L40" si="44">C39*I39</f>
        <v>55999.999999999993</v>
      </c>
      <c r="M39" s="7">
        <f t="shared" si="40"/>
        <v>55999.999999999993</v>
      </c>
      <c r="N39" s="5">
        <f t="shared" si="41"/>
        <v>1759.6418732782367</v>
      </c>
      <c r="O39" s="3">
        <f t="shared" si="42"/>
        <v>-55999.999999999993</v>
      </c>
      <c r="P39" s="2"/>
    </row>
    <row r="40" spans="1:16" ht="17.25" customHeight="1" x14ac:dyDescent="0.3">
      <c r="A40" s="1"/>
      <c r="B40" s="1"/>
      <c r="C40" s="1">
        <v>1.1000000000000001E-3</v>
      </c>
      <c r="D40" s="1" t="s">
        <v>73</v>
      </c>
      <c r="E40" s="25"/>
      <c r="F40" s="25"/>
      <c r="G40" s="5"/>
      <c r="H40" s="5"/>
      <c r="I40" s="50">
        <f t="shared" si="43"/>
        <v>200000000</v>
      </c>
      <c r="J40" s="5"/>
      <c r="K40" s="26">
        <v>0</v>
      </c>
      <c r="L40" s="5">
        <f t="shared" si="44"/>
        <v>220000</v>
      </c>
      <c r="M40" s="7">
        <f>L40-K40</f>
        <v>220000</v>
      </c>
      <c r="N40" s="5">
        <f t="shared" si="41"/>
        <v>6912.878787878788</v>
      </c>
      <c r="O40" s="3">
        <f>E40-M40</f>
        <v>-220000</v>
      </c>
      <c r="P40" s="2"/>
    </row>
    <row r="41" spans="1:16" ht="17.25" customHeight="1" x14ac:dyDescent="0.3">
      <c r="A41" s="1"/>
      <c r="B41" s="1"/>
      <c r="C41" s="1" t="s">
        <v>145</v>
      </c>
      <c r="D41" s="1" t="s">
        <v>19</v>
      </c>
      <c r="E41" s="25"/>
      <c r="F41" s="25"/>
      <c r="G41" s="5"/>
      <c r="H41" s="5"/>
      <c r="I41" s="5"/>
      <c r="J41" s="5"/>
      <c r="K41" s="26">
        <v>0</v>
      </c>
      <c r="L41" s="5">
        <v>25000</v>
      </c>
      <c r="M41" s="7">
        <f>L41-K41</f>
        <v>25000</v>
      </c>
      <c r="N41" s="5">
        <f t="shared" si="41"/>
        <v>785.55440771349856</v>
      </c>
      <c r="O41" s="3">
        <f t="shared" si="42"/>
        <v>-25000</v>
      </c>
      <c r="P41" s="2"/>
    </row>
    <row r="42" spans="1:16" ht="17.25" customHeight="1" x14ac:dyDescent="0.3">
      <c r="A42" s="1"/>
      <c r="B42" s="1"/>
      <c r="C42" s="1">
        <v>6500</v>
      </c>
      <c r="D42" s="1" t="s">
        <v>57</v>
      </c>
      <c r="E42" s="25"/>
      <c r="F42" s="25"/>
      <c r="G42" s="5"/>
      <c r="H42" s="5"/>
      <c r="I42" s="5"/>
      <c r="J42" s="9">
        <f>(P$2-P$1)/30</f>
        <v>32.266666666666666</v>
      </c>
      <c r="K42" s="26">
        <v>0</v>
      </c>
      <c r="L42" s="5">
        <f>J42*C42</f>
        <v>209733.33333333331</v>
      </c>
      <c r="M42" s="7">
        <f t="shared" si="40"/>
        <v>209733.33333333331</v>
      </c>
      <c r="N42" s="5">
        <f t="shared" si="41"/>
        <v>6590.2777777777774</v>
      </c>
      <c r="O42" s="3">
        <f t="shared" si="42"/>
        <v>-209733.33333333331</v>
      </c>
      <c r="P42" s="2"/>
    </row>
    <row r="43" spans="1:16" ht="17.25" customHeight="1" x14ac:dyDescent="0.3">
      <c r="A43" s="1" t="s">
        <v>17</v>
      </c>
      <c r="B43" s="1"/>
      <c r="C43" s="1">
        <v>1500</v>
      </c>
      <c r="D43" s="1" t="s">
        <v>70</v>
      </c>
      <c r="E43" s="5"/>
      <c r="F43" s="5"/>
      <c r="G43" s="5"/>
      <c r="H43" s="5"/>
      <c r="I43" s="5"/>
      <c r="J43" s="9">
        <f>(P$2-P$1)/30</f>
        <v>32.266666666666666</v>
      </c>
      <c r="K43" s="26">
        <v>0</v>
      </c>
      <c r="L43" s="5">
        <f>J43*C43</f>
        <v>48400</v>
      </c>
      <c r="M43" s="7">
        <f>L43+K43</f>
        <v>48400</v>
      </c>
      <c r="N43" s="5">
        <f t="shared" si="41"/>
        <v>1520.8333333333333</v>
      </c>
      <c r="O43" s="3">
        <f>E43-M43</f>
        <v>-48400</v>
      </c>
      <c r="P43" s="2"/>
    </row>
    <row r="44" spans="1:16" ht="17.25" customHeight="1" x14ac:dyDescent="0.3">
      <c r="A44" s="1"/>
      <c r="B44" s="1"/>
      <c r="C44" s="1">
        <v>500</v>
      </c>
      <c r="D44" s="1" t="s">
        <v>20</v>
      </c>
      <c r="E44" s="25"/>
      <c r="F44" s="25"/>
      <c r="G44" s="5"/>
      <c r="H44" s="5"/>
      <c r="I44" s="5"/>
      <c r="J44" s="9">
        <f>(P$2-P$1)/7</f>
        <v>138.28571428571428</v>
      </c>
      <c r="K44" s="26">
        <v>0</v>
      </c>
      <c r="L44" s="5">
        <f t="shared" ref="L44:L51" si="45">J44*C44</f>
        <v>69142.857142857145</v>
      </c>
      <c r="M44" s="7">
        <f t="shared" si="40"/>
        <v>69142.857142857145</v>
      </c>
      <c r="N44" s="5">
        <f t="shared" si="41"/>
        <v>2172.6190476190477</v>
      </c>
      <c r="O44" s="3">
        <f t="shared" si="42"/>
        <v>-69142.857142857145</v>
      </c>
      <c r="P44" s="2"/>
    </row>
    <row r="45" spans="1:16" ht="17.25" customHeight="1" x14ac:dyDescent="0.3">
      <c r="A45" s="1"/>
      <c r="B45" s="1"/>
      <c r="C45" s="1">
        <v>1000</v>
      </c>
      <c r="D45" s="1" t="s">
        <v>68</v>
      </c>
      <c r="E45" s="25"/>
      <c r="F45" s="25"/>
      <c r="G45" s="5"/>
      <c r="H45" s="5"/>
      <c r="I45" s="5"/>
      <c r="J45" s="9">
        <f>(P$2-P$1)/30</f>
        <v>32.266666666666666</v>
      </c>
      <c r="K45" s="26">
        <v>0</v>
      </c>
      <c r="L45" s="5">
        <f t="shared" si="45"/>
        <v>32266.666666666664</v>
      </c>
      <c r="M45" s="7">
        <f t="shared" si="40"/>
        <v>32266.666666666664</v>
      </c>
      <c r="N45" s="5">
        <f t="shared" si="41"/>
        <v>1013.8888888888888</v>
      </c>
      <c r="O45" s="3">
        <f t="shared" si="42"/>
        <v>-32266.666666666664</v>
      </c>
      <c r="P45" s="2"/>
    </row>
    <row r="46" spans="1:16" ht="17.25" customHeight="1" x14ac:dyDescent="0.3">
      <c r="A46" s="1"/>
      <c r="B46" s="1"/>
      <c r="C46" s="1">
        <v>500</v>
      </c>
      <c r="D46" s="1" t="s">
        <v>124</v>
      </c>
      <c r="E46" s="25"/>
      <c r="F46" s="25"/>
      <c r="G46" s="5"/>
      <c r="H46" s="5"/>
      <c r="I46" s="5"/>
      <c r="J46" s="9">
        <f>(P$2-P$1)/7</f>
        <v>138.28571428571428</v>
      </c>
      <c r="K46" s="26">
        <v>0</v>
      </c>
      <c r="L46" s="5">
        <f t="shared" si="45"/>
        <v>69142.857142857145</v>
      </c>
      <c r="M46" s="7">
        <f t="shared" si="40"/>
        <v>69142.857142857145</v>
      </c>
      <c r="N46" s="5">
        <f t="shared" si="41"/>
        <v>2172.6190476190477</v>
      </c>
      <c r="O46" s="3">
        <f t="shared" si="42"/>
        <v>-69142.857142857145</v>
      </c>
      <c r="P46" s="2"/>
    </row>
    <row r="47" spans="1:16" ht="17.25" customHeight="1" x14ac:dyDescent="0.3">
      <c r="A47" s="1"/>
      <c r="B47" s="1"/>
      <c r="C47" s="1">
        <v>0</v>
      </c>
      <c r="D47" s="1" t="s">
        <v>125</v>
      </c>
      <c r="E47" s="25"/>
      <c r="F47" s="25"/>
      <c r="G47" s="5"/>
      <c r="H47" s="5"/>
      <c r="I47" s="5"/>
      <c r="J47" s="9">
        <f>(P$2-P$1)/30</f>
        <v>32.266666666666666</v>
      </c>
      <c r="K47" s="26">
        <v>0</v>
      </c>
      <c r="L47" s="5">
        <f t="shared" si="45"/>
        <v>0</v>
      </c>
      <c r="M47" s="7">
        <f t="shared" si="40"/>
        <v>0</v>
      </c>
      <c r="N47" s="5">
        <f t="shared" si="41"/>
        <v>0</v>
      </c>
      <c r="O47" s="3">
        <f t="shared" si="42"/>
        <v>0</v>
      </c>
      <c r="P47" s="2"/>
    </row>
    <row r="48" spans="1:16" ht="17.25" customHeight="1" x14ac:dyDescent="0.3">
      <c r="A48" s="1"/>
      <c r="B48" s="1"/>
      <c r="C48" s="1">
        <v>500</v>
      </c>
      <c r="D48" s="1" t="s">
        <v>18</v>
      </c>
      <c r="E48" s="25"/>
      <c r="F48" s="25"/>
      <c r="G48" s="5"/>
      <c r="H48" s="5"/>
      <c r="I48" s="5"/>
      <c r="J48" s="9">
        <f>(P$2-P$1)/7</f>
        <v>138.28571428571428</v>
      </c>
      <c r="K48" s="26">
        <v>0</v>
      </c>
      <c r="L48" s="5">
        <f t="shared" si="45"/>
        <v>69142.857142857145</v>
      </c>
      <c r="M48" s="7">
        <f t="shared" si="40"/>
        <v>69142.857142857145</v>
      </c>
      <c r="N48" s="5">
        <f t="shared" si="41"/>
        <v>2172.6190476190477</v>
      </c>
      <c r="O48" s="3">
        <f t="shared" si="42"/>
        <v>-69142.857142857145</v>
      </c>
      <c r="P48" s="2"/>
    </row>
    <row r="49" spans="1:16" ht="17.25" customHeight="1" x14ac:dyDescent="0.3">
      <c r="A49" s="1"/>
      <c r="B49" s="1"/>
      <c r="C49" s="1">
        <v>100</v>
      </c>
      <c r="D49" s="1" t="s">
        <v>126</v>
      </c>
      <c r="E49" s="25"/>
      <c r="F49" s="25"/>
      <c r="G49" s="5"/>
      <c r="H49" s="5"/>
      <c r="I49" s="5"/>
      <c r="J49" s="9">
        <f>(P$2-P$1)/7</f>
        <v>138.28571428571428</v>
      </c>
      <c r="K49" s="26">
        <v>0</v>
      </c>
      <c r="L49" s="5">
        <f t="shared" si="45"/>
        <v>13828.571428571428</v>
      </c>
      <c r="M49" s="7">
        <f t="shared" si="40"/>
        <v>13828.571428571428</v>
      </c>
      <c r="N49" s="5">
        <f t="shared" si="41"/>
        <v>434.52380952380946</v>
      </c>
      <c r="O49" s="3">
        <f t="shared" si="42"/>
        <v>-13828.571428571428</v>
      </c>
      <c r="P49" s="2"/>
    </row>
    <row r="50" spans="1:16" ht="17.25" customHeight="1" x14ac:dyDescent="0.3">
      <c r="A50" s="1"/>
      <c r="B50" s="1"/>
      <c r="C50" s="1">
        <v>500</v>
      </c>
      <c r="D50" s="1" t="s">
        <v>127</v>
      </c>
      <c r="E50" s="25"/>
      <c r="F50" s="25"/>
      <c r="G50" s="5"/>
      <c r="H50" s="5"/>
      <c r="I50" s="5"/>
      <c r="J50" s="9">
        <f>(P$2-P$1)/30</f>
        <v>32.266666666666666</v>
      </c>
      <c r="K50" s="26">
        <v>0</v>
      </c>
      <c r="L50" s="5">
        <f t="shared" si="45"/>
        <v>16133.333333333332</v>
      </c>
      <c r="M50" s="7">
        <f t="shared" si="40"/>
        <v>16133.333333333332</v>
      </c>
      <c r="N50" s="5">
        <f t="shared" si="41"/>
        <v>506.9444444444444</v>
      </c>
      <c r="O50" s="3">
        <f t="shared" si="42"/>
        <v>-16133.333333333332</v>
      </c>
      <c r="P50" s="2"/>
    </row>
    <row r="51" spans="1:16" ht="17.25" customHeight="1" x14ac:dyDescent="0.3">
      <c r="A51" s="1"/>
      <c r="B51" s="1"/>
      <c r="C51" s="1">
        <v>2000</v>
      </c>
      <c r="D51" s="1" t="s">
        <v>128</v>
      </c>
      <c r="E51" s="25"/>
      <c r="F51" s="25"/>
      <c r="G51" s="5"/>
      <c r="H51" s="5"/>
      <c r="I51" s="5"/>
      <c r="J51" s="9">
        <f>(P$2-P$1)/30</f>
        <v>32.266666666666666</v>
      </c>
      <c r="K51" s="26">
        <v>0</v>
      </c>
      <c r="L51" s="5">
        <f t="shared" si="45"/>
        <v>64533.333333333328</v>
      </c>
      <c r="M51" s="7">
        <f t="shared" si="40"/>
        <v>64533.333333333328</v>
      </c>
      <c r="N51" s="5">
        <f t="shared" si="41"/>
        <v>2027.7777777777776</v>
      </c>
      <c r="O51" s="3">
        <f t="shared" si="42"/>
        <v>-64533.333333333328</v>
      </c>
      <c r="P51" s="2"/>
    </row>
    <row r="52" spans="1:16" ht="16.5" x14ac:dyDescent="0.3">
      <c r="A52" s="1"/>
      <c r="B52" s="1" t="s">
        <v>129</v>
      </c>
      <c r="C52" s="1">
        <v>5000</v>
      </c>
      <c r="D52" s="1" t="s">
        <v>130</v>
      </c>
      <c r="E52" s="5"/>
      <c r="F52" s="5"/>
      <c r="G52" s="16"/>
      <c r="H52" s="5"/>
      <c r="I52" s="46"/>
      <c r="J52" s="9"/>
      <c r="K52" s="5">
        <v>0</v>
      </c>
      <c r="L52" s="5">
        <v>27728</v>
      </c>
      <c r="M52" s="7">
        <f t="shared" ref="M52" si="46">L52+K52</f>
        <v>27728</v>
      </c>
      <c r="N52" s="5">
        <f t="shared" ref="N52" si="47">M52/$L$1</f>
        <v>871.27410468319556</v>
      </c>
      <c r="O52" s="3">
        <f t="shared" si="42"/>
        <v>-27728</v>
      </c>
      <c r="P52" s="2"/>
    </row>
    <row r="53" spans="1:16" ht="16.5" x14ac:dyDescent="0.3">
      <c r="A53" s="2"/>
      <c r="B53" s="2"/>
      <c r="C53" s="2"/>
      <c r="D53" s="2"/>
      <c r="E53" s="8">
        <f>SUM(E6:E35)</f>
        <v>0</v>
      </c>
      <c r="F53" s="8"/>
      <c r="G53" s="8"/>
      <c r="H53" s="8"/>
      <c r="I53" s="8"/>
      <c r="J53" s="8"/>
      <c r="K53" s="8">
        <f>SUM(K6:K35)</f>
        <v>0</v>
      </c>
      <c r="L53" s="4">
        <f>SUM(L6:L52)</f>
        <v>9822853.3333333321</v>
      </c>
      <c r="M53" s="4">
        <f>SUM(M6:M35)</f>
        <v>8829534.8571428563</v>
      </c>
      <c r="N53" s="4">
        <f>SUM(N6:N52)</f>
        <v>306713.17968647502</v>
      </c>
      <c r="O53" s="3">
        <f>SUM(O6:O35)</f>
        <v>-8829534.8571428563</v>
      </c>
      <c r="P53" s="2"/>
    </row>
    <row r="54" spans="1:16" ht="16.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64">
        <f>L53/P3</f>
        <v>4.9114266666666663E-2</v>
      </c>
      <c r="M54" s="63"/>
      <c r="N54" s="63" t="s">
        <v>146</v>
      </c>
      <c r="O54" s="2"/>
      <c r="P54" s="2"/>
    </row>
    <row r="55" spans="1:16" ht="20.25" x14ac:dyDescent="0.3">
      <c r="A55" s="48" t="s">
        <v>122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6.5" x14ac:dyDescent="0.3">
      <c r="A56" s="2"/>
      <c r="B56" s="2"/>
      <c r="C56" s="2"/>
      <c r="D56" s="2"/>
      <c r="E56" s="58"/>
      <c r="F56" s="58"/>
      <c r="G56" s="59"/>
      <c r="H56" s="58"/>
      <c r="I56" s="60"/>
      <c r="J56" s="61"/>
      <c r="K56" s="58"/>
      <c r="L56" s="58"/>
      <c r="M56" s="62"/>
      <c r="N56" s="58"/>
      <c r="O56" s="3"/>
      <c r="P56" s="2"/>
    </row>
    <row r="57" spans="1:16" ht="16.5" x14ac:dyDescent="0.3">
      <c r="A57" s="2"/>
      <c r="B57" s="2"/>
      <c r="C57" s="2"/>
      <c r="D57" s="2"/>
      <c r="E57" s="58"/>
      <c r="F57" s="58"/>
      <c r="G57" s="59"/>
      <c r="H57" s="58"/>
      <c r="I57" s="60"/>
      <c r="J57" s="61"/>
      <c r="K57" s="58"/>
      <c r="L57" s="58"/>
      <c r="M57" s="62"/>
      <c r="N57" s="58"/>
      <c r="O57" s="3"/>
      <c r="P57" s="2"/>
    </row>
    <row r="58" spans="1:16" ht="16.5" x14ac:dyDescent="0.3">
      <c r="A58" s="2"/>
      <c r="B58" s="2"/>
      <c r="C58" s="2"/>
      <c r="D58" s="2"/>
      <c r="E58" s="58"/>
      <c r="F58" s="58"/>
      <c r="G58" s="59"/>
      <c r="H58" s="58"/>
      <c r="I58" s="60"/>
      <c r="J58" s="61"/>
      <c r="K58" s="58"/>
      <c r="L58" s="58"/>
      <c r="M58" s="62"/>
      <c r="N58" s="58"/>
      <c r="O58" s="3"/>
      <c r="P58" s="2"/>
    </row>
    <row r="59" spans="1:16" ht="16.5" x14ac:dyDescent="0.3">
      <c r="A59" s="2"/>
      <c r="B59" s="2"/>
      <c r="C59" s="2"/>
      <c r="D59" s="2"/>
      <c r="E59" s="8">
        <f>SUM(E36:E52)</f>
        <v>0</v>
      </c>
      <c r="F59" s="8"/>
      <c r="G59" s="8"/>
      <c r="H59" s="8"/>
      <c r="I59" s="8"/>
      <c r="J59" s="8"/>
      <c r="K59" s="8">
        <f>SUM(K21:K55)</f>
        <v>0</v>
      </c>
      <c r="L59" s="8"/>
      <c r="M59" s="4">
        <f>SUM(M36:M52)</f>
        <v>993318.47619047633</v>
      </c>
      <c r="N59" s="4"/>
      <c r="O59" s="3">
        <f>SUM(O36:O52)</f>
        <v>-993318.47619047633</v>
      </c>
      <c r="P59" s="2"/>
    </row>
    <row r="60" spans="1:16" ht="16.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6.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6.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6.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6.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6.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6.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6.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6.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6.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6.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6.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6.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6.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6.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6.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6.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6.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6.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6.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6.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6.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6.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6.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6.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6.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6.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6.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6.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6.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6.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6.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6.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6.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6.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</sheetData>
  <sortState xmlns:xlrd2="http://schemas.microsoft.com/office/spreadsheetml/2017/richdata2" ref="A5:S54">
    <sortCondition ref="A5"/>
  </sortState>
  <phoneticPr fontId="6" type="noConversion"/>
  <conditionalFormatting sqref="G9:G33 G52 G56:G58">
    <cfRule type="cellIs" dxfId="3" priority="16" operator="lessThan">
      <formula>$P$1</formula>
    </cfRule>
  </conditionalFormatting>
  <conditionalFormatting sqref="H9:H33 H52 H56:H58">
    <cfRule type="cellIs" dxfId="2" priority="15" operator="greaterThan">
      <formula>$P$2</formula>
    </cfRule>
  </conditionalFormatting>
  <conditionalFormatting sqref="J6:J52">
    <cfRule type="cellIs" dxfId="1" priority="1" operator="greaterThan">
      <formula>$L$2</formula>
    </cfRule>
  </conditionalFormatting>
  <conditionalFormatting sqref="J56:J58">
    <cfRule type="cellIs" dxfId="0" priority="14" operator="greaterThan">
      <formula>$L$2</formula>
    </cfRule>
  </conditionalFormatting>
  <printOptions gridLines="1"/>
  <pageMargins left="0.7" right="0.7" top="0.75" bottom="0.75" header="0.3" footer="0.3"/>
  <pageSetup scale="50" orientation="landscape" r:id="rId1"/>
  <headerFooter>
    <oddFooter>&amp;RDate Printed: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3EE0-6F03-4AE9-A017-7ED50531044C}">
  <sheetPr>
    <tabColor rgb="FFFFFF00"/>
    <pageSetUpPr fitToPage="1"/>
  </sheetPr>
  <dimension ref="A1:E165"/>
  <sheetViews>
    <sheetView tabSelected="1" zoomScaleNormal="100" workbookViewId="0">
      <selection activeCell="B6" sqref="B6"/>
    </sheetView>
  </sheetViews>
  <sheetFormatPr defaultColWidth="9.140625" defaultRowHeight="14.25" x14ac:dyDescent="0.25"/>
  <cols>
    <col min="1" max="1" width="41.42578125" style="68" bestFit="1" customWidth="1"/>
    <col min="2" max="2" width="12.85546875" style="75" customWidth="1"/>
    <col min="3" max="3" width="14.7109375" style="74" customWidth="1"/>
    <col min="4" max="4" width="12.140625" style="74" customWidth="1"/>
    <col min="5" max="5" width="28.42578125" style="74" customWidth="1"/>
    <col min="6" max="6" width="9.140625" style="68"/>
    <col min="7" max="7" width="11" style="68" bestFit="1" customWidth="1"/>
    <col min="8" max="16384" width="9.140625" style="68"/>
  </cols>
  <sheetData>
    <row r="1" spans="1:5" ht="32.450000000000003" customHeight="1" x14ac:dyDescent="0.35">
      <c r="A1" s="65" t="s">
        <v>147</v>
      </c>
      <c r="B1" s="66"/>
      <c r="C1" s="65"/>
      <c r="D1" s="65"/>
      <c r="E1" s="67"/>
    </row>
    <row r="2" spans="1:5" ht="36" customHeight="1" x14ac:dyDescent="0.25">
      <c r="A2" s="69"/>
      <c r="B2" s="70"/>
      <c r="C2" s="69"/>
      <c r="D2" s="69"/>
      <c r="E2" s="71"/>
    </row>
    <row r="3" spans="1:5" x14ac:dyDescent="0.25">
      <c r="A3" s="72">
        <v>200000000</v>
      </c>
      <c r="B3" s="73"/>
      <c r="C3" s="72"/>
    </row>
    <row r="4" spans="1:5" x14ac:dyDescent="0.25">
      <c r="A4" s="72" t="s">
        <v>267</v>
      </c>
      <c r="B4" s="73">
        <v>154034</v>
      </c>
      <c r="C4" s="72"/>
    </row>
    <row r="5" spans="1:5" x14ac:dyDescent="0.25">
      <c r="A5" s="72"/>
      <c r="B5" s="73"/>
      <c r="C5" s="72"/>
      <c r="D5" s="74" t="s">
        <v>148</v>
      </c>
    </row>
    <row r="6" spans="1:5" x14ac:dyDescent="0.25">
      <c r="B6" s="75">
        <f>'GC''s'!L2</f>
        <v>138.28571428571428</v>
      </c>
      <c r="C6" s="74" t="s">
        <v>149</v>
      </c>
      <c r="D6" s="124">
        <f>'GC''s'!L1</f>
        <v>31.824657534246576</v>
      </c>
      <c r="E6" s="76" t="s">
        <v>150</v>
      </c>
    </row>
    <row r="8" spans="1:5" ht="15" thickBot="1" x14ac:dyDescent="0.3">
      <c r="E8" s="77"/>
    </row>
    <row r="9" spans="1:5" ht="36" customHeight="1" thickTop="1" x14ac:dyDescent="0.25">
      <c r="A9" s="78" t="s">
        <v>151</v>
      </c>
      <c r="B9" s="79" t="s">
        <v>152</v>
      </c>
      <c r="C9" s="78" t="s">
        <v>153</v>
      </c>
      <c r="D9" s="78" t="s">
        <v>154</v>
      </c>
      <c r="E9" s="80" t="s">
        <v>155</v>
      </c>
    </row>
    <row r="10" spans="1:5" s="86" customFormat="1" ht="34.5" x14ac:dyDescent="0.3">
      <c r="A10" s="81" t="s">
        <v>156</v>
      </c>
      <c r="B10" s="82"/>
      <c r="C10" s="83"/>
      <c r="D10" s="84"/>
      <c r="E10" s="85">
        <f>SUM(E11:E38)</f>
        <v>2266142</v>
      </c>
    </row>
    <row r="11" spans="1:5" s="74" customFormat="1" x14ac:dyDescent="0.25">
      <c r="A11" s="87" t="s">
        <v>268</v>
      </c>
      <c r="B11" s="88"/>
      <c r="C11" s="89"/>
      <c r="D11" s="90"/>
      <c r="E11" s="91"/>
    </row>
    <row r="12" spans="1:5" s="74" customFormat="1" x14ac:dyDescent="0.25">
      <c r="A12" s="92" t="s">
        <v>157</v>
      </c>
      <c r="B12" s="88">
        <v>18</v>
      </c>
      <c r="C12" s="89" t="s">
        <v>158</v>
      </c>
      <c r="D12" s="90">
        <v>3425</v>
      </c>
      <c r="E12" s="91">
        <f>ROUNDUP(B12*D12,0)</f>
        <v>61650</v>
      </c>
    </row>
    <row r="13" spans="1:5" s="74" customFormat="1" x14ac:dyDescent="0.25">
      <c r="A13" s="93" t="s">
        <v>159</v>
      </c>
      <c r="B13" s="88">
        <v>18</v>
      </c>
      <c r="C13" s="89" t="s">
        <v>158</v>
      </c>
      <c r="D13" s="90">
        <v>750</v>
      </c>
      <c r="E13" s="91">
        <f t="shared" ref="E13:E38" si="0">ROUNDUP(B13*D13,0)</f>
        <v>13500</v>
      </c>
    </row>
    <row r="14" spans="1:5" s="74" customFormat="1" x14ac:dyDescent="0.25">
      <c r="A14" s="87" t="s">
        <v>269</v>
      </c>
      <c r="B14" s="88"/>
      <c r="C14" s="89"/>
      <c r="D14" s="90"/>
      <c r="E14" s="91"/>
    </row>
    <row r="15" spans="1:5" s="74" customFormat="1" x14ac:dyDescent="0.25">
      <c r="A15" s="92" t="s">
        <v>160</v>
      </c>
      <c r="B15" s="88">
        <v>5000</v>
      </c>
      <c r="C15" s="89" t="s">
        <v>161</v>
      </c>
      <c r="D15" s="90">
        <v>10</v>
      </c>
      <c r="E15" s="91">
        <f t="shared" si="0"/>
        <v>50000</v>
      </c>
    </row>
    <row r="16" spans="1:5" s="74" customFormat="1" x14ac:dyDescent="0.25">
      <c r="A16" s="93" t="s">
        <v>162</v>
      </c>
      <c r="B16" s="88">
        <f>18*10*4.33</f>
        <v>779.4</v>
      </c>
      <c r="C16" s="89" t="s">
        <v>163</v>
      </c>
      <c r="D16" s="90">
        <v>90</v>
      </c>
      <c r="E16" s="91">
        <f t="shared" si="0"/>
        <v>70146</v>
      </c>
    </row>
    <row r="17" spans="1:5" s="94" customFormat="1" x14ac:dyDescent="0.25">
      <c r="A17" s="92" t="s">
        <v>164</v>
      </c>
      <c r="B17" s="88">
        <f>18*6*4.33</f>
        <v>467.64</v>
      </c>
      <c r="C17" s="89" t="s">
        <v>163</v>
      </c>
      <c r="D17" s="90">
        <v>90</v>
      </c>
      <c r="E17" s="91">
        <f t="shared" si="0"/>
        <v>42088</v>
      </c>
    </row>
    <row r="18" spans="1:5" s="94" customFormat="1" x14ac:dyDescent="0.25">
      <c r="A18" s="92" t="s">
        <v>165</v>
      </c>
      <c r="B18" s="88">
        <f>10*4.33</f>
        <v>43.3</v>
      </c>
      <c r="C18" s="89" t="s">
        <v>166</v>
      </c>
      <c r="D18" s="90">
        <v>500</v>
      </c>
      <c r="E18" s="91">
        <f t="shared" si="0"/>
        <v>21650</v>
      </c>
    </row>
    <row r="19" spans="1:5" s="94" customFormat="1" x14ac:dyDescent="0.25">
      <c r="A19" s="92"/>
      <c r="B19" s="88"/>
      <c r="C19" s="89"/>
      <c r="D19" s="90"/>
      <c r="E19" s="91"/>
    </row>
    <row r="20" spans="1:5" s="94" customFormat="1" x14ac:dyDescent="0.25">
      <c r="A20" s="95" t="s">
        <v>167</v>
      </c>
      <c r="B20" s="88"/>
      <c r="C20" s="89"/>
      <c r="D20" s="90"/>
      <c r="E20" s="91"/>
    </row>
    <row r="21" spans="1:5" s="94" customFormat="1" x14ac:dyDescent="0.25">
      <c r="A21" s="92" t="s">
        <v>168</v>
      </c>
      <c r="B21" s="88">
        <v>1</v>
      </c>
      <c r="C21" s="89" t="s">
        <v>145</v>
      </c>
      <c r="D21" s="90">
        <v>10000</v>
      </c>
      <c r="E21" s="91">
        <f t="shared" si="0"/>
        <v>10000</v>
      </c>
    </row>
    <row r="22" spans="1:5" s="94" customFormat="1" x14ac:dyDescent="0.25">
      <c r="A22" s="87" t="s">
        <v>270</v>
      </c>
      <c r="B22" s="88"/>
      <c r="C22" s="89"/>
      <c r="D22" s="90"/>
      <c r="E22" s="91"/>
    </row>
    <row r="23" spans="1:5" s="94" customFormat="1" x14ac:dyDescent="0.25">
      <c r="A23" s="92" t="s">
        <v>169</v>
      </c>
      <c r="B23" s="88">
        <v>1200</v>
      </c>
      <c r="C23" s="89" t="s">
        <v>161</v>
      </c>
      <c r="D23" s="90">
        <v>9.9555555499999997</v>
      </c>
      <c r="E23" s="91">
        <f>ROUNDUP(B23*D23,0)+5</f>
        <v>11952</v>
      </c>
    </row>
    <row r="24" spans="1:5" s="94" customFormat="1" x14ac:dyDescent="0.25">
      <c r="A24" s="93" t="s">
        <v>170</v>
      </c>
      <c r="B24" s="88">
        <v>422</v>
      </c>
      <c r="C24" s="89" t="s">
        <v>171</v>
      </c>
      <c r="D24" s="90">
        <v>102</v>
      </c>
      <c r="E24" s="91">
        <f t="shared" si="0"/>
        <v>43044</v>
      </c>
    </row>
    <row r="25" spans="1:5" s="94" customFormat="1" x14ac:dyDescent="0.25">
      <c r="A25" s="92" t="s">
        <v>172</v>
      </c>
      <c r="B25" s="96">
        <f>D6</f>
        <v>31.824657534246576</v>
      </c>
      <c r="C25" s="89" t="s">
        <v>158</v>
      </c>
      <c r="D25" s="90">
        <f>B23*4</f>
        <v>4800</v>
      </c>
      <c r="E25" s="91">
        <f t="shared" si="0"/>
        <v>152759</v>
      </c>
    </row>
    <row r="26" spans="1:5" s="94" customFormat="1" hidden="1" x14ac:dyDescent="0.25">
      <c r="A26" s="92" t="s">
        <v>173</v>
      </c>
      <c r="B26" s="88">
        <v>0</v>
      </c>
      <c r="C26" s="89" t="s">
        <v>161</v>
      </c>
      <c r="D26" s="90">
        <v>32.2727777777</v>
      </c>
      <c r="E26" s="91">
        <f t="shared" si="0"/>
        <v>0</v>
      </c>
    </row>
    <row r="27" spans="1:5" s="94" customFormat="1" hidden="1" x14ac:dyDescent="0.25">
      <c r="A27" s="93" t="s">
        <v>174</v>
      </c>
      <c r="B27" s="88">
        <v>0</v>
      </c>
      <c r="C27" s="89" t="s">
        <v>158</v>
      </c>
      <c r="D27" s="90">
        <v>2194.1224489699998</v>
      </c>
      <c r="E27" s="91">
        <f t="shared" si="0"/>
        <v>0</v>
      </c>
    </row>
    <row r="28" spans="1:5" s="94" customFormat="1" x14ac:dyDescent="0.25">
      <c r="A28" s="92" t="s">
        <v>175</v>
      </c>
      <c r="B28" s="88">
        <f>16*D6*2</f>
        <v>1018.3890410958904</v>
      </c>
      <c r="C28" s="89" t="s">
        <v>171</v>
      </c>
      <c r="D28" s="90">
        <v>90</v>
      </c>
      <c r="E28" s="91">
        <f t="shared" si="0"/>
        <v>91656</v>
      </c>
    </row>
    <row r="29" spans="1:5" s="94" customFormat="1" x14ac:dyDescent="0.25">
      <c r="A29" s="92"/>
      <c r="B29" s="88"/>
      <c r="C29" s="89"/>
      <c r="D29" s="90"/>
      <c r="E29" s="91"/>
    </row>
    <row r="30" spans="1:5" s="94" customFormat="1" x14ac:dyDescent="0.25">
      <c r="A30" s="125" t="s">
        <v>176</v>
      </c>
      <c r="B30" s="126">
        <f>ROUND(B25*4.333*7,0)</f>
        <v>965</v>
      </c>
      <c r="C30" s="127" t="s">
        <v>177</v>
      </c>
      <c r="D30" s="128">
        <v>600</v>
      </c>
      <c r="E30" s="129">
        <f t="shared" si="0"/>
        <v>579000</v>
      </c>
    </row>
    <row r="31" spans="1:5" x14ac:dyDescent="0.25">
      <c r="A31" s="92" t="s">
        <v>178</v>
      </c>
      <c r="B31" s="88">
        <f>B25*4.333*2</f>
        <v>275.79248219178083</v>
      </c>
      <c r="C31" s="89" t="s">
        <v>179</v>
      </c>
      <c r="D31" s="90">
        <v>350</v>
      </c>
      <c r="E31" s="91">
        <f t="shared" si="0"/>
        <v>96528</v>
      </c>
    </row>
    <row r="32" spans="1:5" x14ac:dyDescent="0.25">
      <c r="A32" s="93"/>
      <c r="B32" s="88"/>
      <c r="C32" s="89"/>
      <c r="D32" s="90"/>
      <c r="E32" s="91"/>
    </row>
    <row r="33" spans="1:5" x14ac:dyDescent="0.25">
      <c r="A33" s="92" t="s">
        <v>271</v>
      </c>
      <c r="B33" s="88">
        <f>D6-B34</f>
        <v>22.824657534246576</v>
      </c>
      <c r="C33" s="89" t="s">
        <v>158</v>
      </c>
      <c r="D33" s="90">
        <v>3000</v>
      </c>
      <c r="E33" s="91">
        <f t="shared" si="0"/>
        <v>68474</v>
      </c>
    </row>
    <row r="34" spans="1:5" ht="28.5" x14ac:dyDescent="0.25">
      <c r="A34" s="93" t="s">
        <v>272</v>
      </c>
      <c r="B34" s="88">
        <v>9</v>
      </c>
      <c r="C34" s="89" t="s">
        <v>158</v>
      </c>
      <c r="D34" s="90">
        <v>26540.689655172413</v>
      </c>
      <c r="E34" s="91">
        <f t="shared" si="0"/>
        <v>238867</v>
      </c>
    </row>
    <row r="35" spans="1:5" ht="47.25" customHeight="1" x14ac:dyDescent="0.25">
      <c r="A35" s="93" t="s">
        <v>273</v>
      </c>
      <c r="B35" s="88">
        <v>1</v>
      </c>
      <c r="C35" s="89" t="s">
        <v>145</v>
      </c>
      <c r="D35" s="90">
        <v>75000</v>
      </c>
      <c r="E35" s="91">
        <f t="shared" si="0"/>
        <v>75000</v>
      </c>
    </row>
    <row r="36" spans="1:5" ht="20.100000000000001" customHeight="1" x14ac:dyDescent="0.25">
      <c r="A36" s="93" t="s">
        <v>180</v>
      </c>
      <c r="B36" s="88">
        <v>9</v>
      </c>
      <c r="C36" s="89" t="s">
        <v>158</v>
      </c>
      <c r="D36" s="90">
        <v>10000</v>
      </c>
      <c r="E36" s="91">
        <f>ROUNDUP(B36*D36,0)</f>
        <v>90000</v>
      </c>
    </row>
    <row r="37" spans="1:5" x14ac:dyDescent="0.25">
      <c r="A37" s="92" t="s">
        <v>181</v>
      </c>
      <c r="B37" s="88">
        <f>B6</f>
        <v>138.28571428571428</v>
      </c>
      <c r="C37" s="89" t="s">
        <v>166</v>
      </c>
      <c r="D37" s="90">
        <v>2250</v>
      </c>
      <c r="E37" s="91">
        <f t="shared" si="0"/>
        <v>311143</v>
      </c>
    </row>
    <row r="38" spans="1:5" x14ac:dyDescent="0.25">
      <c r="A38" s="131" t="s">
        <v>274</v>
      </c>
      <c r="B38" s="132">
        <f>D6</f>
        <v>31.824657534246576</v>
      </c>
      <c r="C38" s="133" t="s">
        <v>158</v>
      </c>
      <c r="D38" s="130">
        <v>7500</v>
      </c>
      <c r="E38" s="105">
        <f t="shared" si="0"/>
        <v>238685</v>
      </c>
    </row>
    <row r="39" spans="1:5" s="103" customFormat="1" ht="34.5" x14ac:dyDescent="0.3">
      <c r="A39" s="81" t="s">
        <v>182</v>
      </c>
      <c r="B39" s="82"/>
      <c r="C39" s="83"/>
      <c r="D39" s="84"/>
      <c r="E39" s="85">
        <f>SUM(E40:E67)</f>
        <v>5098628</v>
      </c>
    </row>
    <row r="40" spans="1:5" x14ac:dyDescent="0.25">
      <c r="A40" s="95" t="s">
        <v>276</v>
      </c>
      <c r="B40" s="88"/>
      <c r="C40" s="89"/>
      <c r="D40" s="90"/>
      <c r="E40" s="91"/>
    </row>
    <row r="41" spans="1:5" x14ac:dyDescent="0.25">
      <c r="A41" s="92" t="s">
        <v>183</v>
      </c>
      <c r="B41" s="88">
        <v>1</v>
      </c>
      <c r="C41" s="89" t="s">
        <v>179</v>
      </c>
      <c r="D41" s="90">
        <v>1500</v>
      </c>
      <c r="E41" s="91">
        <f t="shared" ref="E41:E67" si="1">ROUNDUP(B41*D41,0)</f>
        <v>1500</v>
      </c>
    </row>
    <row r="42" spans="1:5" x14ac:dyDescent="0.25">
      <c r="A42" s="92" t="s">
        <v>184</v>
      </c>
      <c r="B42" s="88">
        <f>D6-7</f>
        <v>24.824657534246576</v>
      </c>
      <c r="C42" s="89" t="s">
        <v>158</v>
      </c>
      <c r="D42" s="90">
        <f>4500</f>
        <v>4500</v>
      </c>
      <c r="E42" s="91">
        <f t="shared" si="1"/>
        <v>111711</v>
      </c>
    </row>
    <row r="43" spans="1:5" x14ac:dyDescent="0.25">
      <c r="A43" s="92" t="s">
        <v>275</v>
      </c>
      <c r="B43" s="88">
        <f>(B41*B42)*4.333*40</f>
        <v>4302.6096438356162</v>
      </c>
      <c r="C43" s="89" t="s">
        <v>163</v>
      </c>
      <c r="D43" s="90">
        <f>85*1.2</f>
        <v>102</v>
      </c>
      <c r="E43" s="91">
        <f t="shared" si="1"/>
        <v>438867</v>
      </c>
    </row>
    <row r="44" spans="1:5" x14ac:dyDescent="0.25">
      <c r="A44" s="93" t="s">
        <v>186</v>
      </c>
      <c r="B44" s="88">
        <f>(B41*B42)*4.333*50</f>
        <v>5378.2620547945207</v>
      </c>
      <c r="C44" s="89" t="s">
        <v>187</v>
      </c>
      <c r="D44" s="90">
        <v>9</v>
      </c>
      <c r="E44" s="91">
        <f t="shared" si="1"/>
        <v>48405</v>
      </c>
    </row>
    <row r="45" spans="1:5" x14ac:dyDescent="0.25">
      <c r="A45" s="87" t="s">
        <v>277</v>
      </c>
      <c r="B45" s="88"/>
      <c r="C45" s="89"/>
      <c r="D45" s="90"/>
      <c r="E45" s="91"/>
    </row>
    <row r="46" spans="1:5" x14ac:dyDescent="0.25">
      <c r="A46" s="92" t="s">
        <v>183</v>
      </c>
      <c r="B46" s="88">
        <v>1</v>
      </c>
      <c r="C46" s="89" t="s">
        <v>179</v>
      </c>
      <c r="D46" s="90">
        <v>1500</v>
      </c>
      <c r="E46" s="91">
        <f t="shared" si="1"/>
        <v>1500</v>
      </c>
    </row>
    <row r="47" spans="1:5" x14ac:dyDescent="0.25">
      <c r="A47" s="93" t="s">
        <v>184</v>
      </c>
      <c r="B47" s="88">
        <f>D6-7</f>
        <v>24.824657534246576</v>
      </c>
      <c r="C47" s="89" t="s">
        <v>158</v>
      </c>
      <c r="D47" s="90">
        <f>4500</f>
        <v>4500</v>
      </c>
      <c r="E47" s="91">
        <f t="shared" si="1"/>
        <v>111711</v>
      </c>
    </row>
    <row r="48" spans="1:5" x14ac:dyDescent="0.25">
      <c r="A48" s="92" t="s">
        <v>185</v>
      </c>
      <c r="B48" s="88">
        <f>(B46*B47)*4.333*20</f>
        <v>2151.3048219178081</v>
      </c>
      <c r="C48" s="89" t="s">
        <v>163</v>
      </c>
      <c r="D48" s="90">
        <f>85*1.2</f>
        <v>102</v>
      </c>
      <c r="E48" s="91">
        <f t="shared" si="1"/>
        <v>219434</v>
      </c>
    </row>
    <row r="49" spans="1:5" x14ac:dyDescent="0.25">
      <c r="A49" s="92" t="s">
        <v>186</v>
      </c>
      <c r="B49" s="88">
        <f>(B46*B47)*4.333*25</f>
        <v>2689.1310273972604</v>
      </c>
      <c r="C49" s="89" t="s">
        <v>187</v>
      </c>
      <c r="D49" s="90">
        <v>9</v>
      </c>
      <c r="E49" s="91">
        <f t="shared" si="1"/>
        <v>24203</v>
      </c>
    </row>
    <row r="50" spans="1:5" x14ac:dyDescent="0.25">
      <c r="A50" s="92"/>
      <c r="B50" s="88"/>
      <c r="C50" s="89"/>
      <c r="D50" s="90"/>
      <c r="E50" s="91"/>
    </row>
    <row r="51" spans="1:5" x14ac:dyDescent="0.25">
      <c r="A51" s="95" t="s">
        <v>278</v>
      </c>
      <c r="B51" s="88"/>
      <c r="C51" s="89"/>
      <c r="D51" s="90"/>
      <c r="E51" s="91"/>
    </row>
    <row r="52" spans="1:5" x14ac:dyDescent="0.25">
      <c r="A52" s="92" t="s">
        <v>188</v>
      </c>
      <c r="B52" s="88">
        <v>3</v>
      </c>
      <c r="C52" s="89" t="s">
        <v>179</v>
      </c>
      <c r="D52" s="90">
        <v>1600</v>
      </c>
      <c r="E52" s="91">
        <f t="shared" si="1"/>
        <v>4800</v>
      </c>
    </row>
    <row r="53" spans="1:5" ht="28.5" customHeight="1" x14ac:dyDescent="0.25">
      <c r="A53" s="93" t="s">
        <v>189</v>
      </c>
      <c r="B53" s="88">
        <f>B52*6</f>
        <v>18</v>
      </c>
      <c r="C53" s="89" t="s">
        <v>163</v>
      </c>
      <c r="D53" s="90">
        <v>90</v>
      </c>
      <c r="E53" s="91">
        <f t="shared" si="1"/>
        <v>1620</v>
      </c>
    </row>
    <row r="54" spans="1:5" x14ac:dyDescent="0.25">
      <c r="A54" s="93" t="s">
        <v>190</v>
      </c>
      <c r="B54" s="88">
        <f>34/4.33*B52</f>
        <v>23.556581986143186</v>
      </c>
      <c r="C54" s="89" t="s">
        <v>158</v>
      </c>
      <c r="D54" s="90">
        <v>2500</v>
      </c>
      <c r="E54" s="91">
        <f t="shared" si="1"/>
        <v>58892</v>
      </c>
    </row>
    <row r="55" spans="1:5" x14ac:dyDescent="0.25">
      <c r="A55" s="92"/>
      <c r="B55" s="88"/>
      <c r="C55" s="89"/>
      <c r="D55" s="90"/>
      <c r="E55" s="91"/>
    </row>
    <row r="56" spans="1:5" x14ac:dyDescent="0.25">
      <c r="A56" s="87" t="s">
        <v>279</v>
      </c>
      <c r="B56" s="88"/>
      <c r="C56" s="89"/>
      <c r="D56" s="90"/>
      <c r="E56" s="91"/>
    </row>
    <row r="57" spans="1:5" x14ac:dyDescent="0.25">
      <c r="A57" s="93" t="s">
        <v>191</v>
      </c>
      <c r="B57" s="88">
        <v>1</v>
      </c>
      <c r="C57" s="89" t="s">
        <v>179</v>
      </c>
      <c r="D57" s="90">
        <f>6000+21000+14000+18000+1500</f>
        <v>60500</v>
      </c>
      <c r="E57" s="91">
        <f t="shared" si="1"/>
        <v>60500</v>
      </c>
    </row>
    <row r="58" spans="1:5" x14ac:dyDescent="0.25">
      <c r="A58" s="92" t="s">
        <v>184</v>
      </c>
      <c r="B58" s="88">
        <v>13</v>
      </c>
      <c r="C58" s="89" t="s">
        <v>158</v>
      </c>
      <c r="D58" s="90">
        <v>8825</v>
      </c>
      <c r="E58" s="91">
        <f t="shared" si="1"/>
        <v>114725</v>
      </c>
    </row>
    <row r="59" spans="1:5" x14ac:dyDescent="0.25">
      <c r="A59" s="92" t="s">
        <v>192</v>
      </c>
      <c r="B59" s="88">
        <f>B58*4.333*40</f>
        <v>2253.16</v>
      </c>
      <c r="C59" s="89" t="s">
        <v>163</v>
      </c>
      <c r="D59" s="90">
        <v>147</v>
      </c>
      <c r="E59" s="91">
        <f t="shared" si="1"/>
        <v>331215</v>
      </c>
    </row>
    <row r="60" spans="1:5" x14ac:dyDescent="0.25">
      <c r="A60" s="92" t="s">
        <v>193</v>
      </c>
      <c r="B60" s="88">
        <f>B58*4.3333*10</f>
        <v>563.32900000000006</v>
      </c>
      <c r="C60" s="89" t="s">
        <v>163</v>
      </c>
      <c r="D60" s="90">
        <v>197</v>
      </c>
      <c r="E60" s="91">
        <f t="shared" si="1"/>
        <v>110976</v>
      </c>
    </row>
    <row r="61" spans="1:5" x14ac:dyDescent="0.25">
      <c r="A61" s="92" t="s">
        <v>281</v>
      </c>
      <c r="B61" s="88">
        <v>1</v>
      </c>
      <c r="C61" s="89" t="s">
        <v>179</v>
      </c>
      <c r="D61" s="90">
        <v>67482</v>
      </c>
      <c r="E61" s="91">
        <f t="shared" si="1"/>
        <v>67482</v>
      </c>
    </row>
    <row r="62" spans="1:5" x14ac:dyDescent="0.25">
      <c r="A62" s="92"/>
      <c r="B62" s="88"/>
      <c r="C62" s="89"/>
      <c r="D62" s="90"/>
      <c r="E62" s="91"/>
    </row>
    <row r="63" spans="1:5" x14ac:dyDescent="0.25">
      <c r="A63" s="135" t="s">
        <v>280</v>
      </c>
      <c r="B63" s="88"/>
      <c r="C63" s="89"/>
      <c r="D63" s="90"/>
      <c r="E63" s="91"/>
    </row>
    <row r="64" spans="1:5" x14ac:dyDescent="0.25">
      <c r="A64" s="134" t="s">
        <v>183</v>
      </c>
      <c r="B64" s="126">
        <v>2</v>
      </c>
      <c r="C64" s="127" t="s">
        <v>179</v>
      </c>
      <c r="D64" s="128">
        <f>44800*1.2</f>
        <v>53760</v>
      </c>
      <c r="E64" s="129">
        <f t="shared" si="1"/>
        <v>107520</v>
      </c>
    </row>
    <row r="65" spans="1:5" x14ac:dyDescent="0.25">
      <c r="A65" s="134" t="s">
        <v>184</v>
      </c>
      <c r="B65" s="126">
        <v>15</v>
      </c>
      <c r="C65" s="127" t="s">
        <v>158</v>
      </c>
      <c r="D65" s="128">
        <f>580*50*4.333*1.2</f>
        <v>150788.4</v>
      </c>
      <c r="E65" s="129">
        <f t="shared" si="1"/>
        <v>2261826</v>
      </c>
    </row>
    <row r="66" spans="1:5" x14ac:dyDescent="0.25">
      <c r="A66" s="125" t="s">
        <v>195</v>
      </c>
      <c r="B66" s="126">
        <f>B65*4.333*40</f>
        <v>2599.8000000000002</v>
      </c>
      <c r="C66" s="127" t="s">
        <v>163</v>
      </c>
      <c r="D66" s="128">
        <f>120*2*1.2</f>
        <v>288</v>
      </c>
      <c r="E66" s="129">
        <f t="shared" si="1"/>
        <v>748743</v>
      </c>
    </row>
    <row r="67" spans="1:5" x14ac:dyDescent="0.25">
      <c r="A67" s="125" t="s">
        <v>196</v>
      </c>
      <c r="B67" s="126">
        <f>B65*4.3333*10</f>
        <v>649.99500000000012</v>
      </c>
      <c r="C67" s="127" t="s">
        <v>163</v>
      </c>
      <c r="D67" s="128">
        <f>350*1.2</f>
        <v>420</v>
      </c>
      <c r="E67" s="129">
        <f t="shared" si="1"/>
        <v>272998</v>
      </c>
    </row>
    <row r="68" spans="1:5" s="103" customFormat="1" ht="34.5" hidden="1" x14ac:dyDescent="0.3">
      <c r="A68" s="106" t="s">
        <v>197</v>
      </c>
      <c r="B68" s="107"/>
      <c r="C68" s="108"/>
      <c r="D68" s="109"/>
      <c r="E68" s="110">
        <f>SUM(E69:E74)</f>
        <v>289018</v>
      </c>
    </row>
    <row r="69" spans="1:5" hidden="1" x14ac:dyDescent="0.25">
      <c r="A69" s="87" t="s">
        <v>198</v>
      </c>
      <c r="B69" s="88"/>
      <c r="C69" s="89"/>
      <c r="D69" s="90"/>
      <c r="E69" s="91"/>
    </row>
    <row r="70" spans="1:5" hidden="1" x14ac:dyDescent="0.25">
      <c r="A70" s="93" t="s">
        <v>199</v>
      </c>
      <c r="B70" s="88">
        <f>B6*5</f>
        <v>691.42857142857133</v>
      </c>
      <c r="C70" s="89" t="s">
        <v>179</v>
      </c>
      <c r="D70" s="90">
        <v>380</v>
      </c>
      <c r="E70" s="91">
        <f>ROUNDUP(B70*D70,0)</f>
        <v>262743</v>
      </c>
    </row>
    <row r="71" spans="1:5" hidden="1" x14ac:dyDescent="0.25">
      <c r="A71" s="92" t="s">
        <v>200</v>
      </c>
      <c r="B71" s="88">
        <v>0</v>
      </c>
      <c r="C71" s="89" t="s">
        <v>163</v>
      </c>
      <c r="D71" s="90">
        <v>95</v>
      </c>
      <c r="E71" s="91"/>
    </row>
    <row r="72" spans="1:5" hidden="1" x14ac:dyDescent="0.25">
      <c r="A72" s="87" t="s">
        <v>201</v>
      </c>
      <c r="B72" s="88"/>
      <c r="C72" s="89"/>
      <c r="D72" s="90"/>
      <c r="E72" s="91"/>
    </row>
    <row r="73" spans="1:5" hidden="1" x14ac:dyDescent="0.25">
      <c r="A73" s="93" t="s">
        <v>202</v>
      </c>
      <c r="B73" s="88">
        <f>B6/2</f>
        <v>69.142857142857139</v>
      </c>
      <c r="C73" s="89" t="s">
        <v>166</v>
      </c>
      <c r="D73" s="90">
        <v>380</v>
      </c>
      <c r="E73" s="91">
        <f>ROUNDUP(B73*D73,0)</f>
        <v>26275</v>
      </c>
    </row>
    <row r="74" spans="1:5" hidden="1" x14ac:dyDescent="0.25">
      <c r="A74" s="111" t="s">
        <v>200</v>
      </c>
      <c r="B74" s="98">
        <v>0</v>
      </c>
      <c r="C74" s="99" t="s">
        <v>163</v>
      </c>
      <c r="D74" s="100">
        <v>95</v>
      </c>
      <c r="E74" s="101"/>
    </row>
    <row r="75" spans="1:5" s="103" customFormat="1" ht="34.5" x14ac:dyDescent="0.3">
      <c r="A75" s="112" t="s">
        <v>203</v>
      </c>
      <c r="B75" s="107"/>
      <c r="C75" s="108"/>
      <c r="D75" s="109"/>
      <c r="E75" s="110">
        <f>SUM(E76:E99)</f>
        <v>994987</v>
      </c>
    </row>
    <row r="76" spans="1:5" x14ac:dyDescent="0.25">
      <c r="A76" s="95" t="s">
        <v>204</v>
      </c>
      <c r="B76" s="88"/>
      <c r="C76" s="89"/>
      <c r="D76" s="90"/>
      <c r="E76" s="91"/>
    </row>
    <row r="77" spans="1:5" x14ac:dyDescent="0.25">
      <c r="A77" s="92" t="s">
        <v>282</v>
      </c>
      <c r="B77" s="88">
        <f>D6</f>
        <v>31.824657534246576</v>
      </c>
      <c r="C77" s="89" t="s">
        <v>158</v>
      </c>
      <c r="D77" s="128">
        <v>7450</v>
      </c>
      <c r="E77" s="91">
        <f t="shared" ref="E77:E83" si="2">ROUNDUP(B77*D77,0)</f>
        <v>237094</v>
      </c>
    </row>
    <row r="78" spans="1:5" s="74" customFormat="1" x14ac:dyDescent="0.25">
      <c r="A78" s="92" t="s">
        <v>205</v>
      </c>
      <c r="B78" s="88">
        <v>1700</v>
      </c>
      <c r="C78" s="89" t="s">
        <v>161</v>
      </c>
      <c r="D78" s="90">
        <v>12.5</v>
      </c>
      <c r="E78" s="91">
        <f t="shared" si="2"/>
        <v>21250</v>
      </c>
    </row>
    <row r="79" spans="1:5" s="74" customFormat="1" x14ac:dyDescent="0.25">
      <c r="A79" s="92" t="s">
        <v>206</v>
      </c>
      <c r="B79" s="88">
        <v>2</v>
      </c>
      <c r="C79" s="89" t="s">
        <v>179</v>
      </c>
      <c r="D79" s="90">
        <v>600</v>
      </c>
      <c r="E79" s="91">
        <f t="shared" si="2"/>
        <v>1200</v>
      </c>
    </row>
    <row r="80" spans="1:5" s="74" customFormat="1" x14ac:dyDescent="0.25">
      <c r="A80" s="93" t="s">
        <v>207</v>
      </c>
      <c r="B80" s="88">
        <v>1</v>
      </c>
      <c r="C80" s="89" t="s">
        <v>179</v>
      </c>
      <c r="D80" s="90">
        <v>1750</v>
      </c>
      <c r="E80" s="91">
        <f t="shared" si="2"/>
        <v>1750</v>
      </c>
    </row>
    <row r="81" spans="1:5" s="74" customFormat="1" x14ac:dyDescent="0.25">
      <c r="A81" s="92" t="s">
        <v>208</v>
      </c>
      <c r="B81" s="88">
        <f>B78/100</f>
        <v>17</v>
      </c>
      <c r="C81" s="89" t="s">
        <v>179</v>
      </c>
      <c r="D81" s="90">
        <v>150</v>
      </c>
      <c r="E81" s="91">
        <f t="shared" si="2"/>
        <v>2550</v>
      </c>
    </row>
    <row r="82" spans="1:5" s="74" customFormat="1" x14ac:dyDescent="0.25">
      <c r="A82" s="92" t="s">
        <v>283</v>
      </c>
      <c r="B82" s="88">
        <v>149500</v>
      </c>
      <c r="C82" s="89" t="s">
        <v>194</v>
      </c>
      <c r="D82" s="113">
        <f>2*0.65+0.25</f>
        <v>1.55</v>
      </c>
      <c r="E82" s="91">
        <f>ROUNDUP(B82*D82,0)</f>
        <v>231725</v>
      </c>
    </row>
    <row r="83" spans="1:5" s="74" customFormat="1" x14ac:dyDescent="0.25">
      <c r="A83" s="93" t="s">
        <v>209</v>
      </c>
      <c r="B83" s="88">
        <f>40*2*3.6</f>
        <v>288</v>
      </c>
      <c r="C83" s="89" t="s">
        <v>171</v>
      </c>
      <c r="D83" s="90">
        <v>85</v>
      </c>
      <c r="E83" s="91">
        <f t="shared" si="2"/>
        <v>24480</v>
      </c>
    </row>
    <row r="84" spans="1:5" s="74" customFormat="1" x14ac:dyDescent="0.25">
      <c r="A84" s="87" t="s">
        <v>210</v>
      </c>
      <c r="B84" s="88"/>
      <c r="C84" s="89"/>
      <c r="D84" s="90"/>
      <c r="E84" s="91">
        <f t="shared" ref="E84:E99" si="3">ROUNDUP(B84*D84,0)</f>
        <v>0</v>
      </c>
    </row>
    <row r="85" spans="1:5" s="74" customFormat="1" x14ac:dyDescent="0.25">
      <c r="A85" s="92" t="s">
        <v>211</v>
      </c>
      <c r="B85" s="88">
        <v>3</v>
      </c>
      <c r="C85" s="89" t="s">
        <v>179</v>
      </c>
      <c r="D85" s="90">
        <v>155</v>
      </c>
      <c r="E85" s="91">
        <f t="shared" si="3"/>
        <v>465</v>
      </c>
    </row>
    <row r="86" spans="1:5" s="74" customFormat="1" x14ac:dyDescent="0.25">
      <c r="A86" s="93" t="s">
        <v>184</v>
      </c>
      <c r="B86" s="88">
        <f>D6</f>
        <v>31.824657534246576</v>
      </c>
      <c r="C86" s="89" t="s">
        <v>158</v>
      </c>
      <c r="D86" s="90">
        <f>B85*175</f>
        <v>525</v>
      </c>
      <c r="E86" s="91">
        <f t="shared" si="3"/>
        <v>16708</v>
      </c>
    </row>
    <row r="87" spans="1:5" s="74" customFormat="1" x14ac:dyDescent="0.25">
      <c r="A87" s="87" t="s">
        <v>212</v>
      </c>
      <c r="B87" s="88"/>
      <c r="C87" s="89"/>
      <c r="D87" s="90"/>
      <c r="E87" s="91">
        <f t="shared" si="3"/>
        <v>0</v>
      </c>
    </row>
    <row r="88" spans="1:5" s="74" customFormat="1" x14ac:dyDescent="0.25">
      <c r="A88" s="92" t="s">
        <v>211</v>
      </c>
      <c r="B88" s="88">
        <v>12</v>
      </c>
      <c r="C88" s="89" t="s">
        <v>179</v>
      </c>
      <c r="D88" s="90">
        <v>180</v>
      </c>
      <c r="E88" s="91">
        <f t="shared" si="3"/>
        <v>2160</v>
      </c>
    </row>
    <row r="89" spans="1:5" s="74" customFormat="1" x14ac:dyDescent="0.25">
      <c r="A89" s="93" t="s">
        <v>184</v>
      </c>
      <c r="B89" s="88">
        <f>D6</f>
        <v>31.824657534246576</v>
      </c>
      <c r="C89" s="89" t="s">
        <v>158</v>
      </c>
      <c r="D89" s="90">
        <f>B88*250</f>
        <v>3000</v>
      </c>
      <c r="E89" s="91">
        <f t="shared" si="3"/>
        <v>95474</v>
      </c>
    </row>
    <row r="90" spans="1:5" s="74" customFormat="1" x14ac:dyDescent="0.25">
      <c r="A90" s="92" t="s">
        <v>213</v>
      </c>
      <c r="B90" s="88">
        <f>D6</f>
        <v>31.824657534246576</v>
      </c>
      <c r="C90" s="89" t="s">
        <v>158</v>
      </c>
      <c r="D90" s="90">
        <f>B88*70</f>
        <v>840</v>
      </c>
      <c r="E90" s="91">
        <f t="shared" si="3"/>
        <v>26733</v>
      </c>
    </row>
    <row r="91" spans="1:5" s="74" customFormat="1" x14ac:dyDescent="0.25">
      <c r="A91" s="87" t="s">
        <v>214</v>
      </c>
      <c r="B91" s="88"/>
      <c r="C91" s="89"/>
      <c r="D91" s="90"/>
      <c r="E91" s="91">
        <f t="shared" si="3"/>
        <v>0</v>
      </c>
    </row>
    <row r="92" spans="1:5" s="74" customFormat="1" x14ac:dyDescent="0.25">
      <c r="A92" s="93" t="s">
        <v>211</v>
      </c>
      <c r="B92" s="88">
        <v>6</v>
      </c>
      <c r="C92" s="89" t="s">
        <v>179</v>
      </c>
      <c r="D92" s="90">
        <v>155</v>
      </c>
      <c r="E92" s="91">
        <f t="shared" si="3"/>
        <v>930</v>
      </c>
    </row>
    <row r="93" spans="1:5" s="74" customFormat="1" x14ac:dyDescent="0.25">
      <c r="A93" s="92" t="s">
        <v>184</v>
      </c>
      <c r="B93" s="88">
        <f>D6</f>
        <v>31.824657534246576</v>
      </c>
      <c r="C93" s="89" t="s">
        <v>158</v>
      </c>
      <c r="D93" s="90">
        <v>250</v>
      </c>
      <c r="E93" s="91">
        <f t="shared" si="3"/>
        <v>7957</v>
      </c>
    </row>
    <row r="94" spans="1:5" s="74" customFormat="1" x14ac:dyDescent="0.25">
      <c r="A94" s="87" t="s">
        <v>215</v>
      </c>
      <c r="B94" s="88"/>
      <c r="C94" s="89"/>
      <c r="D94" s="90"/>
      <c r="E94" s="91">
        <f t="shared" si="3"/>
        <v>0</v>
      </c>
    </row>
    <row r="95" spans="1:5" s="74" customFormat="1" x14ac:dyDescent="0.25">
      <c r="A95" s="92" t="s">
        <v>216</v>
      </c>
      <c r="B95" s="88">
        <v>21</v>
      </c>
      <c r="C95" s="89" t="s">
        <v>158</v>
      </c>
      <c r="D95" s="90">
        <v>653.33330000000001</v>
      </c>
      <c r="E95" s="91">
        <f t="shared" si="3"/>
        <v>13720</v>
      </c>
    </row>
    <row r="96" spans="1:5" s="74" customFormat="1" x14ac:dyDescent="0.25">
      <c r="A96" s="87" t="s">
        <v>217</v>
      </c>
      <c r="B96" s="88"/>
      <c r="C96" s="89"/>
      <c r="D96" s="90"/>
      <c r="E96" s="91">
        <f t="shared" si="3"/>
        <v>0</v>
      </c>
    </row>
    <row r="97" spans="1:5" s="74" customFormat="1" x14ac:dyDescent="0.25">
      <c r="A97" s="93" t="s">
        <v>211</v>
      </c>
      <c r="B97" s="88">
        <v>1</v>
      </c>
      <c r="C97" s="89" t="s">
        <v>179</v>
      </c>
      <c r="D97" s="90">
        <v>500</v>
      </c>
      <c r="E97" s="91">
        <f t="shared" si="3"/>
        <v>500</v>
      </c>
    </row>
    <row r="98" spans="1:5" s="74" customFormat="1" x14ac:dyDescent="0.25">
      <c r="A98" s="92" t="s">
        <v>184</v>
      </c>
      <c r="B98" s="88">
        <f>D6</f>
        <v>31.824657534246576</v>
      </c>
      <c r="C98" s="89" t="s">
        <v>158</v>
      </c>
      <c r="D98" s="90">
        <v>750</v>
      </c>
      <c r="E98" s="91">
        <f t="shared" si="3"/>
        <v>23869</v>
      </c>
    </row>
    <row r="99" spans="1:5" s="74" customFormat="1" x14ac:dyDescent="0.25">
      <c r="A99" s="111" t="s">
        <v>218</v>
      </c>
      <c r="B99" s="98">
        <f>D6*0.75</f>
        <v>23.868493150684934</v>
      </c>
      <c r="C99" s="99" t="s">
        <v>158</v>
      </c>
      <c r="D99" s="100">
        <v>12000</v>
      </c>
      <c r="E99" s="101">
        <f t="shared" si="3"/>
        <v>286422</v>
      </c>
    </row>
    <row r="100" spans="1:5" s="86" customFormat="1" ht="17.25" x14ac:dyDescent="0.3">
      <c r="A100" s="112" t="s">
        <v>219</v>
      </c>
      <c r="B100" s="107"/>
      <c r="C100" s="108"/>
      <c r="D100" s="109"/>
      <c r="E100" s="110">
        <f>SUM(E101:E107)</f>
        <v>573748</v>
      </c>
    </row>
    <row r="101" spans="1:5" s="74" customFormat="1" x14ac:dyDescent="0.25">
      <c r="A101" s="92" t="s">
        <v>220</v>
      </c>
      <c r="B101" s="88">
        <f>5+4</f>
        <v>9</v>
      </c>
      <c r="C101" s="89" t="s">
        <v>221</v>
      </c>
      <c r="D101" s="90">
        <v>600</v>
      </c>
      <c r="E101" s="91">
        <f>ROUNDUP(B101*D101,0)</f>
        <v>5400</v>
      </c>
    </row>
    <row r="102" spans="1:5" s="74" customFormat="1" x14ac:dyDescent="0.25">
      <c r="A102" s="93" t="s">
        <v>222</v>
      </c>
      <c r="B102" s="88">
        <v>2</v>
      </c>
      <c r="C102" s="89" t="s">
        <v>179</v>
      </c>
      <c r="D102" s="90">
        <v>750</v>
      </c>
      <c r="E102" s="91">
        <f t="shared" ref="E102:E107" si="4">ROUNDUP(B102*D102,0)</f>
        <v>1500</v>
      </c>
    </row>
    <row r="103" spans="1:5" s="74" customFormat="1" x14ac:dyDescent="0.25">
      <c r="A103" s="92" t="s">
        <v>223</v>
      </c>
      <c r="B103" s="88">
        <v>1</v>
      </c>
      <c r="C103" s="89" t="s">
        <v>179</v>
      </c>
      <c r="D103" s="90">
        <v>500</v>
      </c>
      <c r="E103" s="91">
        <f t="shared" si="4"/>
        <v>500</v>
      </c>
    </row>
    <row r="104" spans="1:5" s="74" customFormat="1" x14ac:dyDescent="0.25">
      <c r="A104" s="93" t="s">
        <v>224</v>
      </c>
      <c r="B104" s="88">
        <f>D6</f>
        <v>31.824657534246576</v>
      </c>
      <c r="C104" s="89" t="s">
        <v>158</v>
      </c>
      <c r="D104" s="90">
        <v>2500</v>
      </c>
      <c r="E104" s="91">
        <f t="shared" si="4"/>
        <v>79562</v>
      </c>
    </row>
    <row r="105" spans="1:5" s="74" customFormat="1" x14ac:dyDescent="0.25">
      <c r="A105" s="92" t="s">
        <v>225</v>
      </c>
      <c r="B105" s="88">
        <f>D6</f>
        <v>31.824657534246576</v>
      </c>
      <c r="C105" s="89" t="s">
        <v>158</v>
      </c>
      <c r="D105" s="90">
        <v>1000</v>
      </c>
      <c r="E105" s="91">
        <f t="shared" si="4"/>
        <v>31825</v>
      </c>
    </row>
    <row r="106" spans="1:5" s="74" customFormat="1" x14ac:dyDescent="0.25">
      <c r="A106" s="92" t="s">
        <v>284</v>
      </c>
      <c r="B106" s="88">
        <f>B6</f>
        <v>138.28571428571428</v>
      </c>
      <c r="C106" s="89" t="s">
        <v>166</v>
      </c>
      <c r="D106" s="90">
        <v>1250</v>
      </c>
      <c r="E106" s="91">
        <f t="shared" si="4"/>
        <v>172858</v>
      </c>
    </row>
    <row r="107" spans="1:5" s="74" customFormat="1" x14ac:dyDescent="0.25">
      <c r="A107" s="97" t="s">
        <v>226</v>
      </c>
      <c r="B107" s="98">
        <f>B106*20</f>
        <v>2765.7142857142853</v>
      </c>
      <c r="C107" s="99" t="s">
        <v>163</v>
      </c>
      <c r="D107" s="115">
        <v>102</v>
      </c>
      <c r="E107" s="101">
        <f t="shared" si="4"/>
        <v>282103</v>
      </c>
    </row>
    <row r="108" spans="1:5" s="86" customFormat="1" ht="17.25" x14ac:dyDescent="0.3">
      <c r="A108" s="81" t="s">
        <v>227</v>
      </c>
      <c r="B108" s="82"/>
      <c r="C108" s="83"/>
      <c r="D108" s="84"/>
      <c r="E108" s="85">
        <f>SUM(E109:E118)</f>
        <v>214158</v>
      </c>
    </row>
    <row r="109" spans="1:5" s="74" customFormat="1" x14ac:dyDescent="0.25">
      <c r="A109" s="93" t="s">
        <v>228</v>
      </c>
      <c r="B109" s="88">
        <f>4+5</f>
        <v>9</v>
      </c>
      <c r="C109" s="89" t="s">
        <v>221</v>
      </c>
      <c r="D109" s="90">
        <v>1800</v>
      </c>
      <c r="E109" s="91">
        <f>ROUNDUP(B109*D109,0)</f>
        <v>16200</v>
      </c>
    </row>
    <row r="110" spans="1:5" s="74" customFormat="1" x14ac:dyDescent="0.25">
      <c r="A110" s="92" t="s">
        <v>222</v>
      </c>
      <c r="B110" s="88">
        <v>2</v>
      </c>
      <c r="C110" s="89" t="s">
        <v>179</v>
      </c>
      <c r="D110" s="90">
        <v>2500</v>
      </c>
      <c r="E110" s="91">
        <f t="shared" ref="E110:E118" si="5">ROUNDUP(B110*D110,0)</f>
        <v>5000</v>
      </c>
    </row>
    <row r="111" spans="1:5" s="74" customFormat="1" x14ac:dyDescent="0.25">
      <c r="A111" s="92" t="s">
        <v>229</v>
      </c>
      <c r="B111" s="88">
        <v>2</v>
      </c>
      <c r="C111" s="89" t="s">
        <v>179</v>
      </c>
      <c r="D111" s="90">
        <v>12500</v>
      </c>
      <c r="E111" s="91">
        <f t="shared" si="5"/>
        <v>25000</v>
      </c>
    </row>
    <row r="112" spans="1:5" s="74" customFormat="1" x14ac:dyDescent="0.25">
      <c r="A112" s="93" t="s">
        <v>230</v>
      </c>
      <c r="B112" s="88">
        <v>5000</v>
      </c>
      <c r="C112" s="89" t="s">
        <v>161</v>
      </c>
      <c r="D112" s="90">
        <v>6</v>
      </c>
      <c r="E112" s="91">
        <f t="shared" si="5"/>
        <v>30000</v>
      </c>
    </row>
    <row r="113" spans="1:5" s="74" customFormat="1" x14ac:dyDescent="0.25">
      <c r="A113" s="87" t="s">
        <v>231</v>
      </c>
      <c r="B113" s="88"/>
      <c r="C113" s="89"/>
      <c r="D113" s="90"/>
      <c r="E113" s="91"/>
    </row>
    <row r="114" spans="1:5" s="74" customFormat="1" x14ac:dyDescent="0.25">
      <c r="A114" s="92" t="s">
        <v>232</v>
      </c>
      <c r="B114" s="88">
        <v>4</v>
      </c>
      <c r="C114" s="89" t="s">
        <v>221</v>
      </c>
      <c r="D114" s="90">
        <v>1500</v>
      </c>
      <c r="E114" s="91">
        <f t="shared" si="5"/>
        <v>6000</v>
      </c>
    </row>
    <row r="115" spans="1:5" s="74" customFormat="1" ht="28.5" x14ac:dyDescent="0.25">
      <c r="A115" s="93" t="s">
        <v>233</v>
      </c>
      <c r="B115" s="88">
        <f>B6*5</f>
        <v>691.42857142857133</v>
      </c>
      <c r="C115" s="89" t="s">
        <v>171</v>
      </c>
      <c r="D115" s="90">
        <v>90</v>
      </c>
      <c r="E115" s="91">
        <f t="shared" si="5"/>
        <v>62229</v>
      </c>
    </row>
    <row r="116" spans="1:5" s="74" customFormat="1" x14ac:dyDescent="0.25">
      <c r="A116" s="87" t="s">
        <v>234</v>
      </c>
      <c r="B116" s="88"/>
      <c r="C116" s="89"/>
      <c r="D116" s="90"/>
      <c r="E116" s="91"/>
    </row>
    <row r="117" spans="1:5" s="74" customFormat="1" x14ac:dyDescent="0.25">
      <c r="A117" s="92" t="s">
        <v>232</v>
      </c>
      <c r="B117" s="88">
        <v>5</v>
      </c>
      <c r="C117" s="89" t="s">
        <v>221</v>
      </c>
      <c r="D117" s="90">
        <v>1500</v>
      </c>
      <c r="E117" s="91">
        <f t="shared" si="5"/>
        <v>7500</v>
      </c>
    </row>
    <row r="118" spans="1:5" s="74" customFormat="1" ht="28.5" x14ac:dyDescent="0.25">
      <c r="A118" s="97" t="s">
        <v>233</v>
      </c>
      <c r="B118" s="98">
        <f>B6*5</f>
        <v>691.42857142857133</v>
      </c>
      <c r="C118" s="99" t="s">
        <v>171</v>
      </c>
      <c r="D118" s="100">
        <v>90</v>
      </c>
      <c r="E118" s="101">
        <f t="shared" si="5"/>
        <v>62229</v>
      </c>
    </row>
    <row r="119" spans="1:5" s="86" customFormat="1" ht="17.25" hidden="1" x14ac:dyDescent="0.3">
      <c r="A119" s="81" t="s">
        <v>235</v>
      </c>
      <c r="B119" s="82"/>
      <c r="C119" s="83"/>
      <c r="D119" s="84"/>
      <c r="E119" s="102">
        <f>SUM(E120:E125)</f>
        <v>40666</v>
      </c>
    </row>
    <row r="120" spans="1:5" s="74" customFormat="1" hidden="1" x14ac:dyDescent="0.25">
      <c r="A120" s="93" t="s">
        <v>236</v>
      </c>
      <c r="B120" s="88">
        <f>B6/4.333</f>
        <v>31.914542876924596</v>
      </c>
      <c r="C120" s="89" t="s">
        <v>158</v>
      </c>
      <c r="D120" s="90"/>
      <c r="E120" s="104"/>
    </row>
    <row r="121" spans="1:5" s="74" customFormat="1" hidden="1" x14ac:dyDescent="0.25">
      <c r="A121" s="92" t="s">
        <v>237</v>
      </c>
      <c r="B121" s="88">
        <v>56</v>
      </c>
      <c r="C121" s="89" t="s">
        <v>179</v>
      </c>
      <c r="D121" s="90">
        <v>500</v>
      </c>
      <c r="E121" s="104">
        <f t="shared" ref="E121:E129" si="6">ROUNDUP(B121*D121,0)</f>
        <v>28000</v>
      </c>
    </row>
    <row r="122" spans="1:5" s="74" customFormat="1" hidden="1" x14ac:dyDescent="0.25">
      <c r="A122" s="92" t="s">
        <v>238</v>
      </c>
      <c r="B122" s="88">
        <v>2</v>
      </c>
      <c r="C122" s="89" t="s">
        <v>179</v>
      </c>
      <c r="D122" s="90">
        <v>2000</v>
      </c>
      <c r="E122" s="104">
        <f t="shared" si="6"/>
        <v>4000</v>
      </c>
    </row>
    <row r="123" spans="1:5" s="74" customFormat="1" hidden="1" x14ac:dyDescent="0.25">
      <c r="A123" s="93" t="s">
        <v>239</v>
      </c>
      <c r="B123" s="88"/>
      <c r="C123" s="89"/>
      <c r="D123" s="90"/>
      <c r="E123" s="104"/>
    </row>
    <row r="124" spans="1:5" s="74" customFormat="1" hidden="1" x14ac:dyDescent="0.25">
      <c r="A124" s="92" t="s">
        <v>240</v>
      </c>
      <c r="B124" s="88"/>
      <c r="C124" s="89"/>
      <c r="D124" s="90"/>
      <c r="E124" s="104"/>
    </row>
    <row r="125" spans="1:5" s="74" customFormat="1" hidden="1" x14ac:dyDescent="0.25">
      <c r="A125" s="111" t="s">
        <v>241</v>
      </c>
      <c r="B125" s="98">
        <v>21.664999999999999</v>
      </c>
      <c r="C125" s="99" t="s">
        <v>166</v>
      </c>
      <c r="D125" s="100">
        <v>400</v>
      </c>
      <c r="E125" s="105">
        <f t="shared" si="6"/>
        <v>8666</v>
      </c>
    </row>
    <row r="126" spans="1:5" s="86" customFormat="1" ht="17.25" hidden="1" x14ac:dyDescent="0.3">
      <c r="A126" s="116" t="s">
        <v>242</v>
      </c>
      <c r="B126" s="82"/>
      <c r="C126" s="83"/>
      <c r="D126" s="84"/>
      <c r="E126" s="85">
        <f>SUM(E127:E129)</f>
        <v>102636</v>
      </c>
    </row>
    <row r="127" spans="1:5" s="74" customFormat="1" ht="28.5" hidden="1" x14ac:dyDescent="0.25">
      <c r="A127" s="93" t="s">
        <v>243</v>
      </c>
      <c r="B127" s="88">
        <f>30*16</f>
        <v>480</v>
      </c>
      <c r="C127" s="89" t="s">
        <v>163</v>
      </c>
      <c r="D127" s="90">
        <v>85</v>
      </c>
      <c r="E127" s="91">
        <f t="shared" si="6"/>
        <v>40800</v>
      </c>
    </row>
    <row r="128" spans="1:5" s="74" customFormat="1" hidden="1" x14ac:dyDescent="0.25">
      <c r="A128" s="92" t="s">
        <v>244</v>
      </c>
      <c r="B128" s="88">
        <v>23</v>
      </c>
      <c r="C128" s="89" t="s">
        <v>245</v>
      </c>
      <c r="D128" s="90">
        <v>2000</v>
      </c>
      <c r="E128" s="91">
        <f t="shared" si="6"/>
        <v>46000</v>
      </c>
    </row>
    <row r="129" spans="1:5" s="74" customFormat="1" hidden="1" x14ac:dyDescent="0.25">
      <c r="A129" s="97" t="s">
        <v>246</v>
      </c>
      <c r="B129" s="98">
        <v>1</v>
      </c>
      <c r="C129" s="99" t="s">
        <v>145</v>
      </c>
      <c r="D129" s="100">
        <f>102636-E127-E128</f>
        <v>15836</v>
      </c>
      <c r="E129" s="101">
        <f t="shared" si="6"/>
        <v>15836</v>
      </c>
    </row>
    <row r="130" spans="1:5" s="74" customFormat="1" ht="42" hidden="1" customHeight="1" x14ac:dyDescent="0.35">
      <c r="A130" s="140" t="s">
        <v>247</v>
      </c>
      <c r="B130" s="141"/>
      <c r="C130" s="141"/>
      <c r="D130" s="142"/>
      <c r="E130" s="117">
        <f>SUM(E126,E119,E108,E100,E75,E68,E39,E10)</f>
        <v>9579983</v>
      </c>
    </row>
    <row r="131" spans="1:5" s="86" customFormat="1" ht="17.25" x14ac:dyDescent="0.3">
      <c r="A131" s="118" t="s">
        <v>248</v>
      </c>
      <c r="B131" s="119"/>
      <c r="C131" s="120"/>
      <c r="D131" s="121"/>
      <c r="E131" s="102">
        <f>SUM(E132:E134)</f>
        <v>95200</v>
      </c>
    </row>
    <row r="132" spans="1:5" s="74" customFormat="1" x14ac:dyDescent="0.25">
      <c r="A132" s="92" t="s">
        <v>249</v>
      </c>
      <c r="B132" s="88">
        <f>B396*50%</f>
        <v>0</v>
      </c>
      <c r="C132" s="89" t="s">
        <v>194</v>
      </c>
      <c r="D132" s="122">
        <v>3.5</v>
      </c>
      <c r="E132" s="91">
        <f t="shared" ref="E132:E134" si="7">ROUNDUP(B132*D132,0)</f>
        <v>0</v>
      </c>
    </row>
    <row r="133" spans="1:5" s="74" customFormat="1" x14ac:dyDescent="0.25">
      <c r="A133" s="93" t="s">
        <v>250</v>
      </c>
      <c r="B133" s="88">
        <f>34</f>
        <v>34</v>
      </c>
      <c r="C133" s="89" t="s">
        <v>166</v>
      </c>
      <c r="D133" s="122">
        <v>1000</v>
      </c>
      <c r="E133" s="91">
        <f t="shared" si="7"/>
        <v>34000</v>
      </c>
    </row>
    <row r="134" spans="1:5" s="74" customFormat="1" x14ac:dyDescent="0.25">
      <c r="A134" s="92" t="s">
        <v>251</v>
      </c>
      <c r="B134" s="88">
        <f>34*20</f>
        <v>680</v>
      </c>
      <c r="C134" s="89" t="s">
        <v>163</v>
      </c>
      <c r="D134" s="122">
        <v>90</v>
      </c>
      <c r="E134" s="91">
        <f t="shared" si="7"/>
        <v>61200</v>
      </c>
    </row>
    <row r="135" spans="1:5" s="86" customFormat="1" ht="34.5" x14ac:dyDescent="0.3">
      <c r="A135" s="81" t="s">
        <v>252</v>
      </c>
      <c r="B135" s="119"/>
      <c r="C135" s="120"/>
      <c r="D135" s="121"/>
      <c r="E135" s="102">
        <f>SUM(E136:E138)</f>
        <v>504102</v>
      </c>
    </row>
    <row r="136" spans="1:5" s="74" customFormat="1" x14ac:dyDescent="0.25">
      <c r="A136" s="92" t="s">
        <v>285</v>
      </c>
      <c r="B136" s="88"/>
      <c r="C136" s="89"/>
      <c r="D136" s="122"/>
      <c r="E136" s="91"/>
    </row>
    <row r="137" spans="1:5" s="74" customFormat="1" x14ac:dyDescent="0.25">
      <c r="A137" s="92" t="s">
        <v>253</v>
      </c>
      <c r="B137" s="88">
        <f>12*4.333</f>
        <v>51.996000000000002</v>
      </c>
      <c r="C137" s="89" t="s">
        <v>166</v>
      </c>
      <c r="D137" s="122">
        <v>2500</v>
      </c>
      <c r="E137" s="91">
        <f t="shared" ref="E137:E138" si="8">ROUNDUP(B137*D137,0)</f>
        <v>129990</v>
      </c>
    </row>
    <row r="138" spans="1:5" s="74" customFormat="1" x14ac:dyDescent="0.25">
      <c r="A138" s="93" t="s">
        <v>254</v>
      </c>
      <c r="B138" s="88">
        <f>(24*4.33)*40</f>
        <v>4156.8</v>
      </c>
      <c r="C138" s="89" t="s">
        <v>171</v>
      </c>
      <c r="D138" s="122">
        <v>90</v>
      </c>
      <c r="E138" s="91">
        <f t="shared" si="8"/>
        <v>374112</v>
      </c>
    </row>
    <row r="139" spans="1:5" s="86" customFormat="1" ht="17.25" x14ac:dyDescent="0.3">
      <c r="A139" s="81" t="s">
        <v>255</v>
      </c>
      <c r="B139" s="119"/>
      <c r="C139" s="120"/>
      <c r="D139" s="121"/>
      <c r="E139" s="102">
        <f>SUM(E140:E143)</f>
        <v>150819</v>
      </c>
    </row>
    <row r="140" spans="1:5" s="74" customFormat="1" x14ac:dyDescent="0.25">
      <c r="A140" s="92" t="s">
        <v>256</v>
      </c>
      <c r="B140" s="88">
        <v>154034</v>
      </c>
      <c r="C140" s="89" t="s">
        <v>257</v>
      </c>
      <c r="D140" s="122">
        <v>0.15</v>
      </c>
      <c r="E140" s="91">
        <f>ROUNDUP(B140*D140,0)</f>
        <v>23106</v>
      </c>
    </row>
    <row r="141" spans="1:5" s="74" customFormat="1" x14ac:dyDescent="0.25">
      <c r="A141" s="92" t="s">
        <v>258</v>
      </c>
      <c r="B141" s="88">
        <v>154034</v>
      </c>
      <c r="C141" s="89" t="s">
        <v>257</v>
      </c>
      <c r="D141" s="122">
        <v>0.25</v>
      </c>
      <c r="E141" s="91">
        <f t="shared" ref="E141:E143" si="9">ROUNDUP(B141*D141,0)</f>
        <v>38509</v>
      </c>
    </row>
    <row r="142" spans="1:5" s="74" customFormat="1" x14ac:dyDescent="0.25">
      <c r="A142" s="92" t="s">
        <v>260</v>
      </c>
      <c r="B142" s="88">
        <f>41*20</f>
        <v>820</v>
      </c>
      <c r="C142" s="89" t="s">
        <v>163</v>
      </c>
      <c r="D142" s="122">
        <v>90</v>
      </c>
      <c r="E142" s="91">
        <f t="shared" si="9"/>
        <v>73800</v>
      </c>
    </row>
    <row r="143" spans="1:5" s="74" customFormat="1" x14ac:dyDescent="0.25">
      <c r="A143" s="92" t="s">
        <v>259</v>
      </c>
      <c r="B143" s="88">
        <v>154034</v>
      </c>
      <c r="C143" s="89" t="s">
        <v>257</v>
      </c>
      <c r="D143" s="122">
        <v>0.1</v>
      </c>
      <c r="E143" s="91">
        <f t="shared" si="9"/>
        <v>15404</v>
      </c>
    </row>
    <row r="144" spans="1:5" s="86" customFormat="1" ht="17.25" x14ac:dyDescent="0.3">
      <c r="A144" s="118" t="s">
        <v>261</v>
      </c>
      <c r="B144" s="119"/>
      <c r="C144" s="120"/>
      <c r="D144" s="121"/>
      <c r="E144" s="102">
        <f>SUM(E145:E147)</f>
        <v>682671</v>
      </c>
    </row>
    <row r="145" spans="1:5" s="74" customFormat="1" x14ac:dyDescent="0.25">
      <c r="A145" s="92" t="s">
        <v>262</v>
      </c>
      <c r="B145" s="88">
        <v>154034</v>
      </c>
      <c r="C145" s="89" t="s">
        <v>257</v>
      </c>
      <c r="D145" s="122">
        <v>0.1</v>
      </c>
      <c r="E145" s="91">
        <f>ROUNDUP(B145*D145,0)</f>
        <v>15404</v>
      </c>
    </row>
    <row r="146" spans="1:5" s="74" customFormat="1" x14ac:dyDescent="0.25">
      <c r="A146" s="93" t="s">
        <v>263</v>
      </c>
      <c r="B146" s="88">
        <f>B6*40</f>
        <v>5531.4285714285706</v>
      </c>
      <c r="C146" s="89" t="s">
        <v>163</v>
      </c>
      <c r="D146" s="122">
        <v>90</v>
      </c>
      <c r="E146" s="91">
        <f t="shared" ref="E146:E147" si="10">ROUNDUP(B146*D146,0)</f>
        <v>497829</v>
      </c>
    </row>
    <row r="147" spans="1:5" s="74" customFormat="1" x14ac:dyDescent="0.25">
      <c r="A147" s="111" t="s">
        <v>264</v>
      </c>
      <c r="B147" s="98">
        <v>154034</v>
      </c>
      <c r="C147" s="99" t="s">
        <v>257</v>
      </c>
      <c r="D147" s="136">
        <v>1.1000000000000001</v>
      </c>
      <c r="E147" s="101">
        <f t="shared" si="10"/>
        <v>169438</v>
      </c>
    </row>
    <row r="148" spans="1:5" s="74" customFormat="1" x14ac:dyDescent="0.25">
      <c r="A148" s="68"/>
      <c r="B148" s="75"/>
      <c r="E148" s="137">
        <f>SUM(E144,E139,E135,E131,E126,E119,E108,E100,E75,E68,E39,E10)</f>
        <v>11012775</v>
      </c>
    </row>
    <row r="149" spans="1:5" s="74" customFormat="1" hidden="1" x14ac:dyDescent="0.25">
      <c r="A149" s="68"/>
      <c r="B149" s="75"/>
    </row>
    <row r="150" spans="1:5" s="74" customFormat="1" hidden="1" x14ac:dyDescent="0.25">
      <c r="A150" s="68"/>
      <c r="B150" s="75"/>
    </row>
    <row r="151" spans="1:5" s="74" customFormat="1" hidden="1" x14ac:dyDescent="0.25">
      <c r="A151" s="68"/>
      <c r="B151" s="75"/>
    </row>
    <row r="152" spans="1:5" s="74" customFormat="1" hidden="1" x14ac:dyDescent="0.25">
      <c r="A152" s="68"/>
      <c r="B152" s="75"/>
    </row>
    <row r="153" spans="1:5" s="74" customFormat="1" hidden="1" x14ac:dyDescent="0.25">
      <c r="A153" s="68"/>
      <c r="B153" s="75"/>
    </row>
    <row r="154" spans="1:5" hidden="1" x14ac:dyDescent="0.25"/>
    <row r="155" spans="1:5" hidden="1" x14ac:dyDescent="0.25">
      <c r="B155" s="123" t="s">
        <v>265</v>
      </c>
      <c r="C155" s="75" t="e">
        <f>#REF!+B146+#REF!+#REF!+B142+#REF!+#REF!+B134+B138+B127+B107+#REF!+#REF!+B83+B48+B43+B38+B17+B16</f>
        <v>#REF!</v>
      </c>
      <c r="D155" s="74" t="s">
        <v>266</v>
      </c>
    </row>
    <row r="156" spans="1:5" hidden="1" x14ac:dyDescent="0.25">
      <c r="C156" s="124" t="e">
        <f>C155/22</f>
        <v>#REF!</v>
      </c>
      <c r="D156" s="74" t="s">
        <v>97</v>
      </c>
    </row>
    <row r="157" spans="1:5" hidden="1" x14ac:dyDescent="0.25">
      <c r="C157" s="124" t="e">
        <f>C156/4.333</f>
        <v>#REF!</v>
      </c>
      <c r="D157" s="74" t="s">
        <v>96</v>
      </c>
    </row>
    <row r="158" spans="1:5" hidden="1" x14ac:dyDescent="0.25"/>
    <row r="159" spans="1:5" hidden="1" x14ac:dyDescent="0.25"/>
    <row r="160" spans="1:5" hidden="1" x14ac:dyDescent="0.25"/>
    <row r="161" spans="4:5" x14ac:dyDescent="0.25">
      <c r="E161" s="139">
        <f>E148/200000000</f>
        <v>5.5063874999999998E-2</v>
      </c>
    </row>
    <row r="163" spans="4:5" x14ac:dyDescent="0.25">
      <c r="D163" s="74" t="s">
        <v>286</v>
      </c>
      <c r="E163" s="114">
        <f>E146+E142+E138+E134+E107+E83+E28+E24+E16+E17++E48+E43</f>
        <v>2218759</v>
      </c>
    </row>
    <row r="164" spans="4:5" x14ac:dyDescent="0.25">
      <c r="D164" s="138" t="s">
        <v>287</v>
      </c>
      <c r="E164" s="114">
        <f>E148-SUM(E52:E67)</f>
        <v>6871478</v>
      </c>
    </row>
    <row r="165" spans="4:5" x14ac:dyDescent="0.25">
      <c r="D165" s="74" t="s">
        <v>288</v>
      </c>
      <c r="E165" s="139">
        <f>E164/200000000</f>
        <v>3.4357390000000002E-2</v>
      </c>
    </row>
  </sheetData>
  <mergeCells count="1">
    <mergeCell ref="A130:D130"/>
  </mergeCells>
  <pageMargins left="0.25" right="0.25" top="0.75" bottom="0.75" header="0.3" footer="0.3"/>
  <pageSetup scale="49" fitToHeight="0" orientation="portrait" horizontalDpi="2400" verticalDpi="2400" r:id="rId1"/>
  <headerFooter>
    <oddFooter>1</oddFooter>
  </headerFooter>
  <rowBreaks count="7" manualBreakCount="7">
    <brk id="38" max="9" man="1"/>
    <brk id="67" max="9" man="1"/>
    <brk id="74" max="9" man="1"/>
    <brk id="99" max="9" man="1"/>
    <brk id="107" max="9" man="1"/>
    <brk id="118" max="9" man="1"/>
    <brk id="125" max="9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BAE6-F17B-404A-B35D-0A540FD24EA5}">
  <sheetPr>
    <pageSetUpPr fitToPage="1"/>
  </sheetPr>
  <dimension ref="A1:N111"/>
  <sheetViews>
    <sheetView view="pageLayout" topLeftCell="C1" zoomScale="90" zoomScaleNormal="100" zoomScalePageLayoutView="90" workbookViewId="0">
      <selection activeCell="D23" sqref="D23"/>
    </sheetView>
  </sheetViews>
  <sheetFormatPr defaultRowHeight="15" x14ac:dyDescent="0.25"/>
  <cols>
    <col min="1" max="1" width="15.42578125" customWidth="1"/>
    <col min="2" max="2" width="9" bestFit="1" customWidth="1"/>
    <col min="3" max="3" width="7.7109375" customWidth="1"/>
    <col min="4" max="4" width="29.7109375" customWidth="1"/>
    <col min="5" max="5" width="10.7109375" customWidth="1"/>
    <col min="6" max="6" width="10.140625" customWidth="1"/>
    <col min="7" max="7" width="12" bestFit="1" customWidth="1"/>
    <col min="8" max="8" width="10.140625" hidden="1" customWidth="1"/>
    <col min="9" max="9" width="10.5703125" customWidth="1"/>
    <col min="10" max="10" width="10.85546875" hidden="1" customWidth="1"/>
    <col min="11" max="11" width="14.140625" hidden="1" customWidth="1"/>
    <col min="12" max="12" width="16.7109375" hidden="1" customWidth="1"/>
    <col min="13" max="13" width="24.42578125" customWidth="1"/>
    <col min="14" max="15" width="9.140625" customWidth="1"/>
  </cols>
  <sheetData>
    <row r="1" spans="1:14" ht="20.25" x14ac:dyDescent="0.3">
      <c r="A1" s="10" t="s">
        <v>82</v>
      </c>
      <c r="B1" s="10"/>
      <c r="C1" s="12"/>
      <c r="D1" s="12"/>
      <c r="E1" s="12"/>
      <c r="F1" s="17"/>
      <c r="G1" s="17"/>
      <c r="H1" s="17"/>
      <c r="I1" s="18"/>
      <c r="J1" s="12"/>
      <c r="K1" s="2"/>
      <c r="L1" s="21"/>
      <c r="M1" s="41"/>
    </row>
    <row r="2" spans="1:14" ht="20.25" x14ac:dyDescent="0.3">
      <c r="A2" s="10"/>
      <c r="B2" s="10"/>
      <c r="C2" s="10" t="s">
        <v>95</v>
      </c>
      <c r="D2" s="12"/>
      <c r="E2" s="12"/>
      <c r="F2" s="17"/>
      <c r="G2" s="17"/>
      <c r="H2" s="17"/>
      <c r="I2" s="19"/>
      <c r="J2" s="12"/>
      <c r="K2" s="2"/>
      <c r="L2" s="21"/>
      <c r="M2" s="41"/>
    </row>
    <row r="3" spans="1:14" ht="41.1" customHeight="1" x14ac:dyDescent="0.3">
      <c r="A3" s="11" t="s">
        <v>10</v>
      </c>
      <c r="B3" s="13" t="s">
        <v>83</v>
      </c>
      <c r="C3" s="13" t="s">
        <v>22</v>
      </c>
      <c r="D3" s="11" t="s">
        <v>11</v>
      </c>
      <c r="E3" s="32" t="s">
        <v>94</v>
      </c>
      <c r="F3" s="6" t="s">
        <v>34</v>
      </c>
      <c r="G3" s="6" t="s">
        <v>77</v>
      </c>
      <c r="H3" s="6" t="s">
        <v>78</v>
      </c>
      <c r="I3" s="6" t="s">
        <v>93</v>
      </c>
      <c r="J3" s="6" t="s">
        <v>4</v>
      </c>
      <c r="K3" s="6" t="s">
        <v>24</v>
      </c>
      <c r="L3" s="6" t="s">
        <v>12</v>
      </c>
      <c r="M3" s="6" t="s">
        <v>23</v>
      </c>
    </row>
    <row r="4" spans="1:14" ht="17.25" customHeight="1" x14ac:dyDescent="0.3">
      <c r="A4" s="1" t="s">
        <v>58</v>
      </c>
      <c r="B4" s="1"/>
      <c r="C4" s="22">
        <v>138</v>
      </c>
      <c r="D4" s="1" t="s">
        <v>84</v>
      </c>
      <c r="E4" s="38">
        <v>0</v>
      </c>
      <c r="F4" s="37">
        <f>E4*40</f>
        <v>0</v>
      </c>
      <c r="G4" s="34">
        <v>4.33</v>
      </c>
      <c r="H4" s="5">
        <v>0</v>
      </c>
      <c r="I4" s="5">
        <f t="shared" ref="I4" si="0">(C4*F4*G4)</f>
        <v>0</v>
      </c>
      <c r="J4" s="7">
        <f>I4+H4</f>
        <v>0</v>
      </c>
      <c r="K4" s="14" t="e">
        <f t="shared" ref="K4:K17" si="1">J4/$I$1</f>
        <v>#DIV/0!</v>
      </c>
      <c r="L4" s="3" t="e">
        <f>#REF!-J4</f>
        <v>#REF!</v>
      </c>
      <c r="M4" s="2"/>
      <c r="N4" s="15"/>
    </row>
    <row r="5" spans="1:14" ht="17.25" customHeight="1" x14ac:dyDescent="0.3">
      <c r="A5" s="1" t="s">
        <v>85</v>
      </c>
      <c r="B5" s="1"/>
      <c r="C5" s="22">
        <v>115</v>
      </c>
      <c r="D5" s="1" t="s">
        <v>0</v>
      </c>
      <c r="E5" s="39">
        <v>0.5</v>
      </c>
      <c r="F5" s="37">
        <f t="shared" ref="F5:F20" si="2">E5*40</f>
        <v>20</v>
      </c>
      <c r="G5" s="34">
        <v>4.33</v>
      </c>
      <c r="H5" s="5">
        <v>0</v>
      </c>
      <c r="I5" s="5">
        <f t="shared" ref="I5:I22" si="3">(C5*F5*G5)</f>
        <v>9959</v>
      </c>
      <c r="J5" s="7">
        <f t="shared" ref="J5:J20" si="4">I5+H5</f>
        <v>9959</v>
      </c>
      <c r="K5" s="14" t="e">
        <f t="shared" si="1"/>
        <v>#DIV/0!</v>
      </c>
      <c r="L5" s="3" t="e">
        <f>#REF!-J5</f>
        <v>#REF!</v>
      </c>
      <c r="M5" s="2"/>
    </row>
    <row r="6" spans="1:14" ht="17.25" customHeight="1" x14ac:dyDescent="0.3">
      <c r="A6" s="1" t="s">
        <v>49</v>
      </c>
      <c r="B6" s="1"/>
      <c r="C6" s="22">
        <v>100</v>
      </c>
      <c r="D6" s="1" t="s">
        <v>50</v>
      </c>
      <c r="E6" s="39">
        <v>0</v>
      </c>
      <c r="F6" s="37">
        <f t="shared" si="2"/>
        <v>0</v>
      </c>
      <c r="G6" s="34">
        <v>4.33</v>
      </c>
      <c r="H6" s="5">
        <v>0</v>
      </c>
      <c r="I6" s="5">
        <f t="shared" si="3"/>
        <v>0</v>
      </c>
      <c r="J6" s="7">
        <f t="shared" si="4"/>
        <v>0</v>
      </c>
      <c r="K6" s="14" t="e">
        <f t="shared" si="1"/>
        <v>#DIV/0!</v>
      </c>
      <c r="L6" s="3" t="e">
        <f>#REF!-J6</f>
        <v>#REF!</v>
      </c>
      <c r="M6" s="2"/>
    </row>
    <row r="7" spans="1:14" ht="17.25" customHeight="1" x14ac:dyDescent="0.3">
      <c r="A7" s="1" t="s">
        <v>79</v>
      </c>
      <c r="B7" s="1"/>
      <c r="C7" s="22">
        <v>90</v>
      </c>
      <c r="D7" s="1" t="s">
        <v>100</v>
      </c>
      <c r="E7" s="39">
        <v>0</v>
      </c>
      <c r="F7" s="37">
        <f t="shared" si="2"/>
        <v>0</v>
      </c>
      <c r="G7" s="34">
        <v>4.33</v>
      </c>
      <c r="H7" s="5">
        <v>0</v>
      </c>
      <c r="I7" s="5">
        <f t="shared" si="3"/>
        <v>0</v>
      </c>
      <c r="J7" s="7">
        <f t="shared" si="4"/>
        <v>0</v>
      </c>
      <c r="K7" s="14" t="e">
        <f>J7/$I$1</f>
        <v>#DIV/0!</v>
      </c>
      <c r="L7" s="3" t="e">
        <f>#REF!-J7</f>
        <v>#REF!</v>
      </c>
      <c r="M7" s="2"/>
    </row>
    <row r="8" spans="1:14" ht="17.25" customHeight="1" x14ac:dyDescent="0.3">
      <c r="A8" s="1" t="s">
        <v>5</v>
      </c>
      <c r="B8" s="1"/>
      <c r="C8" s="22">
        <v>85</v>
      </c>
      <c r="D8" s="1" t="s">
        <v>1</v>
      </c>
      <c r="E8" s="43">
        <v>0.5</v>
      </c>
      <c r="F8" s="37">
        <f t="shared" si="2"/>
        <v>20</v>
      </c>
      <c r="G8" s="34">
        <v>4.33</v>
      </c>
      <c r="H8" s="5">
        <v>0</v>
      </c>
      <c r="I8" s="5">
        <f t="shared" si="3"/>
        <v>7361</v>
      </c>
      <c r="J8" s="7">
        <f t="shared" si="4"/>
        <v>7361</v>
      </c>
      <c r="K8" s="14" t="e">
        <f t="shared" si="1"/>
        <v>#DIV/0!</v>
      </c>
      <c r="L8" s="3" t="e">
        <f>#REF!-J8</f>
        <v>#REF!</v>
      </c>
      <c r="M8" s="2"/>
    </row>
    <row r="9" spans="1:14" ht="17.25" customHeight="1" x14ac:dyDescent="0.3">
      <c r="A9" s="1" t="s">
        <v>88</v>
      </c>
      <c r="B9" s="1"/>
      <c r="C9" s="22">
        <v>40</v>
      </c>
      <c r="D9" s="1" t="s">
        <v>89</v>
      </c>
      <c r="E9" s="39">
        <v>0</v>
      </c>
      <c r="F9" s="37">
        <f t="shared" si="2"/>
        <v>0</v>
      </c>
      <c r="G9" s="34">
        <v>4.33</v>
      </c>
      <c r="H9" s="5">
        <v>0</v>
      </c>
      <c r="I9" s="5">
        <f t="shared" si="3"/>
        <v>0</v>
      </c>
      <c r="J9" s="7">
        <f t="shared" si="4"/>
        <v>0</v>
      </c>
      <c r="K9" s="14" t="e">
        <f t="shared" si="1"/>
        <v>#DIV/0!</v>
      </c>
      <c r="L9" s="3" t="e">
        <f>#REF!-J9</f>
        <v>#REF!</v>
      </c>
      <c r="M9" s="2"/>
    </row>
    <row r="10" spans="1:14" ht="17.25" customHeight="1" x14ac:dyDescent="0.3">
      <c r="A10" s="1" t="s">
        <v>6</v>
      </c>
      <c r="B10" s="1"/>
      <c r="C10" s="22">
        <v>175</v>
      </c>
      <c r="D10" s="1" t="s">
        <v>2</v>
      </c>
      <c r="E10" s="43">
        <v>0.1</v>
      </c>
      <c r="F10" s="37">
        <f t="shared" si="2"/>
        <v>4</v>
      </c>
      <c r="G10" s="34">
        <v>4.33</v>
      </c>
      <c r="H10" s="5">
        <v>0</v>
      </c>
      <c r="I10" s="5">
        <f t="shared" si="3"/>
        <v>3031</v>
      </c>
      <c r="J10" s="7">
        <f t="shared" si="4"/>
        <v>3031</v>
      </c>
      <c r="K10" s="14" t="e">
        <f t="shared" si="1"/>
        <v>#DIV/0!</v>
      </c>
      <c r="L10" s="3" t="e">
        <f>#REF!-J10</f>
        <v>#REF!</v>
      </c>
      <c r="M10" s="2"/>
    </row>
    <row r="11" spans="1:14" ht="17.25" customHeight="1" x14ac:dyDescent="0.3">
      <c r="A11" s="1" t="s">
        <v>86</v>
      </c>
      <c r="B11" s="1"/>
      <c r="C11" s="22">
        <v>130</v>
      </c>
      <c r="D11" s="1" t="s">
        <v>87</v>
      </c>
      <c r="E11" s="39">
        <v>0</v>
      </c>
      <c r="F11" s="37">
        <f t="shared" si="2"/>
        <v>0</v>
      </c>
      <c r="G11" s="34">
        <v>4.33</v>
      </c>
      <c r="H11" s="5">
        <v>0</v>
      </c>
      <c r="I11" s="5">
        <f t="shared" si="3"/>
        <v>0</v>
      </c>
      <c r="J11" s="7">
        <f t="shared" si="4"/>
        <v>0</v>
      </c>
      <c r="K11" s="14" t="e">
        <f t="shared" si="1"/>
        <v>#DIV/0!</v>
      </c>
      <c r="L11" s="3" t="e">
        <f>#REF!-J11</f>
        <v>#REF!</v>
      </c>
      <c r="M11" s="20"/>
    </row>
    <row r="12" spans="1:14" ht="17.25" customHeight="1" x14ac:dyDescent="0.3">
      <c r="A12" s="1" t="s">
        <v>7</v>
      </c>
      <c r="B12" s="1"/>
      <c r="C12" s="22">
        <v>120</v>
      </c>
      <c r="D12" s="1" t="s">
        <v>25</v>
      </c>
      <c r="E12" s="39">
        <v>1</v>
      </c>
      <c r="F12" s="37">
        <f t="shared" si="2"/>
        <v>40</v>
      </c>
      <c r="G12" s="34">
        <v>4.33</v>
      </c>
      <c r="H12" s="5">
        <v>0</v>
      </c>
      <c r="I12" s="5">
        <f t="shared" si="3"/>
        <v>20784</v>
      </c>
      <c r="J12" s="7">
        <f t="shared" si="4"/>
        <v>20784</v>
      </c>
      <c r="K12" s="14" t="e">
        <f t="shared" si="1"/>
        <v>#DIV/0!</v>
      </c>
      <c r="L12" s="3" t="e">
        <f>#REF!-J12</f>
        <v>#REF!</v>
      </c>
      <c r="M12" s="20"/>
    </row>
    <row r="13" spans="1:14" ht="17.25" customHeight="1" x14ac:dyDescent="0.3">
      <c r="A13" s="1" t="s">
        <v>8</v>
      </c>
      <c r="B13" s="1"/>
      <c r="C13" s="22">
        <v>100</v>
      </c>
      <c r="D13" s="1" t="s">
        <v>3</v>
      </c>
      <c r="E13" s="39">
        <v>0</v>
      </c>
      <c r="F13" s="37">
        <f t="shared" si="2"/>
        <v>0</v>
      </c>
      <c r="G13" s="34">
        <v>4.33</v>
      </c>
      <c r="H13" s="5">
        <v>0</v>
      </c>
      <c r="I13" s="5">
        <f t="shared" si="3"/>
        <v>0</v>
      </c>
      <c r="J13" s="7">
        <f t="shared" si="4"/>
        <v>0</v>
      </c>
      <c r="K13" s="14" t="e">
        <f>J13/$I$1</f>
        <v>#DIV/0!</v>
      </c>
      <c r="L13" s="3" t="e">
        <f>#REF!-J13</f>
        <v>#REF!</v>
      </c>
      <c r="M13" s="2"/>
    </row>
    <row r="14" spans="1:14" ht="17.25" customHeight="1" x14ac:dyDescent="0.3">
      <c r="A14" s="1" t="s">
        <v>80</v>
      </c>
      <c r="B14" s="1"/>
      <c r="C14" s="22">
        <v>100</v>
      </c>
      <c r="D14" s="1" t="s">
        <v>3</v>
      </c>
      <c r="E14" s="39">
        <v>0</v>
      </c>
      <c r="F14" s="37">
        <f t="shared" si="2"/>
        <v>0</v>
      </c>
      <c r="G14" s="34">
        <v>4.33</v>
      </c>
      <c r="H14" s="5">
        <v>0</v>
      </c>
      <c r="I14" s="5">
        <f t="shared" si="3"/>
        <v>0</v>
      </c>
      <c r="J14" s="7">
        <f t="shared" si="4"/>
        <v>0</v>
      </c>
      <c r="K14" s="14" t="e">
        <f>J14/$I$1</f>
        <v>#DIV/0!</v>
      </c>
      <c r="L14" s="3" t="e">
        <f>#REF!-J14</f>
        <v>#REF!</v>
      </c>
      <c r="M14" s="20"/>
    </row>
    <row r="15" spans="1:14" ht="18" customHeight="1" x14ac:dyDescent="0.3">
      <c r="A15" s="1" t="s">
        <v>81</v>
      </c>
      <c r="B15" s="1"/>
      <c r="C15" s="22">
        <v>90</v>
      </c>
      <c r="D15" s="1" t="s">
        <v>100</v>
      </c>
      <c r="E15" s="39">
        <v>0</v>
      </c>
      <c r="F15" s="37">
        <f t="shared" si="2"/>
        <v>0</v>
      </c>
      <c r="G15" s="34">
        <v>4.33</v>
      </c>
      <c r="H15" s="5">
        <v>0</v>
      </c>
      <c r="I15" s="5">
        <f t="shared" si="3"/>
        <v>0</v>
      </c>
      <c r="J15" s="7">
        <f t="shared" si="4"/>
        <v>0</v>
      </c>
      <c r="K15" s="14" t="e">
        <f>J15/$I$1</f>
        <v>#DIV/0!</v>
      </c>
      <c r="L15" s="3" t="e">
        <f>#REF!-J15</f>
        <v>#REF!</v>
      </c>
      <c r="M15" s="20"/>
    </row>
    <row r="16" spans="1:14" ht="17.25" customHeight="1" x14ac:dyDescent="0.3">
      <c r="A16" s="1" t="s">
        <v>9</v>
      </c>
      <c r="B16" s="1"/>
      <c r="C16" s="22">
        <v>85</v>
      </c>
      <c r="D16" s="1" t="s">
        <v>37</v>
      </c>
      <c r="E16" s="44">
        <v>0.1</v>
      </c>
      <c r="F16" s="37">
        <f t="shared" si="2"/>
        <v>4</v>
      </c>
      <c r="G16" s="34">
        <v>4.33</v>
      </c>
      <c r="H16" s="5">
        <v>0</v>
      </c>
      <c r="I16" s="5">
        <f t="shared" si="3"/>
        <v>1472.2</v>
      </c>
      <c r="J16" s="7">
        <f t="shared" si="4"/>
        <v>1472.2</v>
      </c>
      <c r="K16" s="14" t="e">
        <f t="shared" si="1"/>
        <v>#DIV/0!</v>
      </c>
      <c r="L16" s="3" t="e">
        <f>#REF!-J16</f>
        <v>#REF!</v>
      </c>
      <c r="M16" s="2"/>
    </row>
    <row r="17" spans="1:13" ht="17.25" customHeight="1" x14ac:dyDescent="0.3">
      <c r="A17" s="1" t="s">
        <v>36</v>
      </c>
      <c r="B17" s="1"/>
      <c r="C17" s="22">
        <v>85</v>
      </c>
      <c r="D17" s="1" t="s">
        <v>74</v>
      </c>
      <c r="E17" s="44">
        <v>0.15</v>
      </c>
      <c r="F17" s="37">
        <f t="shared" si="2"/>
        <v>6</v>
      </c>
      <c r="G17" s="34">
        <v>4.33</v>
      </c>
      <c r="H17" s="26">
        <v>0</v>
      </c>
      <c r="I17" s="5">
        <f t="shared" si="3"/>
        <v>2208.3000000000002</v>
      </c>
      <c r="J17" s="7">
        <f t="shared" si="4"/>
        <v>2208.3000000000002</v>
      </c>
      <c r="K17" s="14" t="e">
        <f t="shared" si="1"/>
        <v>#DIV/0!</v>
      </c>
      <c r="L17" s="3" t="e">
        <f>#REF!-J17</f>
        <v>#REF!</v>
      </c>
      <c r="M17" s="2"/>
    </row>
    <row r="18" spans="1:13" ht="17.25" customHeight="1" x14ac:dyDescent="0.3">
      <c r="A18" s="1" t="s">
        <v>59</v>
      </c>
      <c r="B18" s="1"/>
      <c r="C18" s="22">
        <v>150</v>
      </c>
      <c r="D18" s="1" t="s">
        <v>35</v>
      </c>
      <c r="E18" s="45">
        <v>0.1</v>
      </c>
      <c r="F18" s="37">
        <f t="shared" si="2"/>
        <v>4</v>
      </c>
      <c r="G18" s="34">
        <v>4.33</v>
      </c>
      <c r="H18" s="5">
        <v>0</v>
      </c>
      <c r="I18" s="5">
        <f t="shared" si="3"/>
        <v>2598</v>
      </c>
      <c r="J18" s="7">
        <f t="shared" si="4"/>
        <v>2598</v>
      </c>
      <c r="K18" s="14" t="e">
        <f>J18/$I$1</f>
        <v>#DIV/0!</v>
      </c>
      <c r="L18" s="3" t="e">
        <f>#REF!-J18</f>
        <v>#REF!</v>
      </c>
      <c r="M18" s="2"/>
    </row>
    <row r="19" spans="1:13" ht="17.25" customHeight="1" x14ac:dyDescent="0.3">
      <c r="A19" s="1" t="s">
        <v>60</v>
      </c>
      <c r="B19" s="1"/>
      <c r="C19" s="22">
        <v>120</v>
      </c>
      <c r="D19" s="1" t="s">
        <v>62</v>
      </c>
      <c r="E19" s="39">
        <v>0</v>
      </c>
      <c r="F19" s="37">
        <f t="shared" si="2"/>
        <v>0</v>
      </c>
      <c r="G19" s="34">
        <v>4.33</v>
      </c>
      <c r="H19" s="5">
        <v>0</v>
      </c>
      <c r="I19" s="5">
        <f t="shared" si="3"/>
        <v>0</v>
      </c>
      <c r="J19" s="7">
        <f t="shared" si="4"/>
        <v>0</v>
      </c>
      <c r="K19" s="14" t="e">
        <f>J19/$I$1</f>
        <v>#DIV/0!</v>
      </c>
      <c r="L19" s="3" t="e">
        <f>#REF!-J19</f>
        <v>#REF!</v>
      </c>
      <c r="M19" s="2"/>
    </row>
    <row r="20" spans="1:13" ht="17.25" customHeight="1" x14ac:dyDescent="0.3">
      <c r="A20" s="1" t="s">
        <v>61</v>
      </c>
      <c r="B20" s="1"/>
      <c r="C20" s="22">
        <v>85</v>
      </c>
      <c r="D20" s="1" t="s">
        <v>63</v>
      </c>
      <c r="E20" s="40">
        <v>0</v>
      </c>
      <c r="F20" s="37">
        <f t="shared" si="2"/>
        <v>0</v>
      </c>
      <c r="G20" s="34">
        <v>4.33</v>
      </c>
      <c r="H20" s="5">
        <v>0</v>
      </c>
      <c r="I20" s="5">
        <f t="shared" si="3"/>
        <v>0</v>
      </c>
      <c r="J20" s="7">
        <f t="shared" si="4"/>
        <v>0</v>
      </c>
      <c r="K20" s="14" t="e">
        <f>J20/$I$1</f>
        <v>#DIV/0!</v>
      </c>
      <c r="L20" s="3" t="e">
        <f>#REF!-J20</f>
        <v>#REF!</v>
      </c>
      <c r="M20" s="2"/>
    </row>
    <row r="21" spans="1:13" ht="17.25" customHeight="1" x14ac:dyDescent="0.3">
      <c r="A21" s="1" t="s">
        <v>26</v>
      </c>
      <c r="B21" s="1"/>
      <c r="C21" s="1">
        <v>10</v>
      </c>
      <c r="D21" s="1" t="s">
        <v>27</v>
      </c>
      <c r="E21" s="27"/>
      <c r="F21" s="35">
        <f>SUM(F4:F20)</f>
        <v>98</v>
      </c>
      <c r="G21" s="34">
        <v>4.33</v>
      </c>
      <c r="H21" s="26">
        <v>0</v>
      </c>
      <c r="I21" s="5">
        <f t="shared" si="3"/>
        <v>4243.3999999999996</v>
      </c>
      <c r="J21" s="7">
        <f>I21+H21</f>
        <v>4243.3999999999996</v>
      </c>
      <c r="K21" s="7"/>
      <c r="L21" s="3" t="e">
        <f>#REF!-J21</f>
        <v>#REF!</v>
      </c>
      <c r="M21" s="2"/>
    </row>
    <row r="22" spans="1:13" ht="17.25" customHeight="1" x14ac:dyDescent="0.3">
      <c r="A22" s="1" t="s">
        <v>32</v>
      </c>
      <c r="B22" s="1"/>
      <c r="C22" s="1">
        <v>1</v>
      </c>
      <c r="D22" s="1" t="s">
        <v>33</v>
      </c>
      <c r="E22" s="27"/>
      <c r="F22" s="35">
        <f>SUM(F4:F20)</f>
        <v>98</v>
      </c>
      <c r="G22" s="34">
        <v>4.33</v>
      </c>
      <c r="H22" s="26">
        <v>0</v>
      </c>
      <c r="I22" s="5">
        <f t="shared" si="3"/>
        <v>424.34000000000003</v>
      </c>
      <c r="J22" s="7">
        <f>I22+H22</f>
        <v>424.34000000000003</v>
      </c>
      <c r="K22" s="7"/>
      <c r="L22" s="3" t="e">
        <f>#REF!-J22</f>
        <v>#REF!</v>
      </c>
      <c r="M22" s="2"/>
    </row>
    <row r="23" spans="1:13" ht="17.25" customHeight="1" x14ac:dyDescent="0.3">
      <c r="A23" s="1" t="s">
        <v>13</v>
      </c>
      <c r="B23" s="1"/>
      <c r="C23" s="1"/>
      <c r="D23" s="1" t="s">
        <v>18</v>
      </c>
      <c r="E23" s="36" t="s">
        <v>96</v>
      </c>
      <c r="F23" s="5">
        <v>100</v>
      </c>
      <c r="G23" s="34">
        <v>4.33</v>
      </c>
      <c r="H23" s="26">
        <v>0</v>
      </c>
      <c r="I23" s="5">
        <f>F23*G23</f>
        <v>433</v>
      </c>
      <c r="J23" s="7">
        <f>I23-H23</f>
        <v>433</v>
      </c>
      <c r="K23" s="7"/>
      <c r="L23" s="3" t="e">
        <f>#REF!-I23</f>
        <v>#REF!</v>
      </c>
      <c r="M23" s="2"/>
    </row>
    <row r="24" spans="1:13" ht="17.25" customHeight="1" x14ac:dyDescent="0.3">
      <c r="A24" s="1" t="s">
        <v>14</v>
      </c>
      <c r="B24" s="1"/>
      <c r="C24" s="1"/>
      <c r="D24" s="1" t="s">
        <v>51</v>
      </c>
      <c r="E24" s="5" t="s">
        <v>97</v>
      </c>
      <c r="F24" s="5">
        <v>0</v>
      </c>
      <c r="G24" s="34">
        <v>1</v>
      </c>
      <c r="H24" s="26">
        <v>0</v>
      </c>
      <c r="I24" s="5">
        <f t="shared" ref="I24:I42" si="5">F24*G24</f>
        <v>0</v>
      </c>
      <c r="J24" s="7">
        <f t="shared" ref="J24:J42" si="6">I24-H24</f>
        <v>0</v>
      </c>
      <c r="K24" s="7"/>
      <c r="L24" s="3" t="e">
        <f>#REF!-J24</f>
        <v>#REF!</v>
      </c>
      <c r="M24" s="2"/>
    </row>
    <row r="25" spans="1:13" ht="17.25" customHeight="1" x14ac:dyDescent="0.3">
      <c r="A25" s="1" t="s">
        <v>28</v>
      </c>
      <c r="B25" s="1"/>
      <c r="C25" s="1"/>
      <c r="D25" s="1" t="s">
        <v>29</v>
      </c>
      <c r="E25" s="5" t="s">
        <v>97</v>
      </c>
      <c r="F25" s="5">
        <v>500</v>
      </c>
      <c r="G25" s="34">
        <v>1</v>
      </c>
      <c r="H25" s="26">
        <v>0</v>
      </c>
      <c r="I25" s="5">
        <f t="shared" si="5"/>
        <v>500</v>
      </c>
      <c r="J25" s="7">
        <f t="shared" si="6"/>
        <v>500</v>
      </c>
      <c r="K25" s="7"/>
      <c r="L25" s="3" t="e">
        <f>#REF!-J25</f>
        <v>#REF!</v>
      </c>
      <c r="M25" s="2"/>
    </row>
    <row r="26" spans="1:13" ht="17.25" customHeight="1" x14ac:dyDescent="0.3">
      <c r="A26" s="1" t="s">
        <v>64</v>
      </c>
      <c r="B26" s="1"/>
      <c r="C26" s="1"/>
      <c r="D26" s="1" t="s">
        <v>65</v>
      </c>
      <c r="E26" s="5"/>
      <c r="F26" s="5">
        <v>500</v>
      </c>
      <c r="G26" s="34">
        <v>0</v>
      </c>
      <c r="H26" s="26">
        <v>0</v>
      </c>
      <c r="I26" s="5">
        <f t="shared" si="5"/>
        <v>0</v>
      </c>
      <c r="J26" s="7">
        <f t="shared" si="6"/>
        <v>0</v>
      </c>
      <c r="K26" s="7"/>
      <c r="L26" s="3" t="e">
        <f>#REF!-J26</f>
        <v>#REF!</v>
      </c>
      <c r="M26" s="2"/>
    </row>
    <row r="27" spans="1:13" ht="17.25" customHeight="1" x14ac:dyDescent="0.3">
      <c r="A27" s="1" t="s">
        <v>66</v>
      </c>
      <c r="B27" s="1"/>
      <c r="C27" s="1"/>
      <c r="D27" s="1" t="s">
        <v>38</v>
      </c>
      <c r="E27" s="5"/>
      <c r="F27" s="5">
        <v>0</v>
      </c>
      <c r="G27" s="34">
        <v>0</v>
      </c>
      <c r="H27" s="26">
        <v>0</v>
      </c>
      <c r="I27" s="5">
        <f t="shared" si="5"/>
        <v>0</v>
      </c>
      <c r="J27" s="7">
        <f t="shared" si="6"/>
        <v>0</v>
      </c>
      <c r="K27" s="7"/>
      <c r="L27" s="3" t="e">
        <f>#REF!-J27</f>
        <v>#REF!</v>
      </c>
      <c r="M27" s="2"/>
    </row>
    <row r="28" spans="1:13" ht="17.25" customHeight="1" x14ac:dyDescent="0.3">
      <c r="A28" s="1" t="s">
        <v>30</v>
      </c>
      <c r="B28" s="1"/>
      <c r="C28" s="1"/>
      <c r="D28" s="1" t="s">
        <v>31</v>
      </c>
      <c r="E28" s="5"/>
      <c r="F28" s="5">
        <v>0</v>
      </c>
      <c r="G28" s="34">
        <v>0</v>
      </c>
      <c r="H28" s="26">
        <v>0</v>
      </c>
      <c r="I28" s="5">
        <f t="shared" si="5"/>
        <v>0</v>
      </c>
      <c r="J28" s="7">
        <f t="shared" si="6"/>
        <v>0</v>
      </c>
      <c r="K28" s="7"/>
      <c r="L28" s="3" t="e">
        <f>#REF!-J28</f>
        <v>#REF!</v>
      </c>
      <c r="M28" s="2"/>
    </row>
    <row r="29" spans="1:13" ht="17.25" customHeight="1" x14ac:dyDescent="0.3">
      <c r="A29" s="1" t="s">
        <v>15</v>
      </c>
      <c r="B29" s="1"/>
      <c r="C29" s="1"/>
      <c r="D29" s="1" t="s">
        <v>19</v>
      </c>
      <c r="E29" s="5" t="s">
        <v>98</v>
      </c>
      <c r="F29" s="5">
        <v>5000</v>
      </c>
      <c r="G29" s="34">
        <v>1</v>
      </c>
      <c r="H29" s="26">
        <v>0</v>
      </c>
      <c r="I29" s="5">
        <f t="shared" si="5"/>
        <v>5000</v>
      </c>
      <c r="J29" s="7">
        <f t="shared" si="6"/>
        <v>5000</v>
      </c>
      <c r="K29" s="7"/>
      <c r="L29" s="3" t="e">
        <f>#REF!-J29</f>
        <v>#REF!</v>
      </c>
      <c r="M29" s="2"/>
    </row>
    <row r="30" spans="1:13" ht="17.25" customHeight="1" x14ac:dyDescent="0.3">
      <c r="A30" s="1" t="s">
        <v>56</v>
      </c>
      <c r="B30" s="1"/>
      <c r="C30" s="1"/>
      <c r="D30" s="1" t="s">
        <v>57</v>
      </c>
      <c r="E30" s="5" t="s">
        <v>97</v>
      </c>
      <c r="F30" s="5">
        <v>1000</v>
      </c>
      <c r="G30" s="34">
        <v>1</v>
      </c>
      <c r="H30" s="26">
        <v>0</v>
      </c>
      <c r="I30" s="5">
        <f t="shared" si="5"/>
        <v>1000</v>
      </c>
      <c r="J30" s="7">
        <f t="shared" si="6"/>
        <v>1000</v>
      </c>
      <c r="K30" s="7"/>
      <c r="L30" s="3" t="e">
        <f>#REF!-J30</f>
        <v>#REF!</v>
      </c>
      <c r="M30" s="2"/>
    </row>
    <row r="31" spans="1:13" ht="17.25" customHeight="1" x14ac:dyDescent="0.3">
      <c r="A31" s="1" t="s">
        <v>16</v>
      </c>
      <c r="B31" s="1"/>
      <c r="C31" s="1"/>
      <c r="D31" s="1" t="s">
        <v>20</v>
      </c>
      <c r="E31" s="5" t="s">
        <v>96</v>
      </c>
      <c r="F31" s="5">
        <v>100</v>
      </c>
      <c r="G31" s="34">
        <v>4.33</v>
      </c>
      <c r="H31" s="26">
        <v>0</v>
      </c>
      <c r="I31" s="5">
        <f t="shared" si="5"/>
        <v>433</v>
      </c>
      <c r="J31" s="7">
        <f t="shared" si="6"/>
        <v>433</v>
      </c>
      <c r="K31" s="7"/>
      <c r="L31" s="3" t="e">
        <f>#REF!-J31</f>
        <v>#REF!</v>
      </c>
      <c r="M31" s="2"/>
    </row>
    <row r="32" spans="1:13" ht="17.25" customHeight="1" x14ac:dyDescent="0.3">
      <c r="A32" s="1" t="s">
        <v>67</v>
      </c>
      <c r="B32" s="1"/>
      <c r="C32" s="1"/>
      <c r="D32" s="1" t="s">
        <v>68</v>
      </c>
      <c r="E32" s="5" t="s">
        <v>97</v>
      </c>
      <c r="F32" s="5">
        <v>500</v>
      </c>
      <c r="G32" s="34">
        <v>1</v>
      </c>
      <c r="H32" s="26">
        <v>0</v>
      </c>
      <c r="I32" s="5">
        <f t="shared" si="5"/>
        <v>500</v>
      </c>
      <c r="J32" s="7">
        <f t="shared" si="6"/>
        <v>500</v>
      </c>
      <c r="K32" s="7"/>
      <c r="L32" s="3" t="e">
        <f>#REF!-J32</f>
        <v>#REF!</v>
      </c>
      <c r="M32" s="2"/>
    </row>
    <row r="33" spans="1:13" ht="17.25" customHeight="1" x14ac:dyDescent="0.3">
      <c r="A33" s="1" t="s">
        <v>52</v>
      </c>
      <c r="B33" s="1"/>
      <c r="C33" s="1"/>
      <c r="D33" s="1" t="s">
        <v>69</v>
      </c>
      <c r="E33" s="5" t="s">
        <v>97</v>
      </c>
      <c r="F33" s="5">
        <v>300</v>
      </c>
      <c r="G33" s="34">
        <v>1</v>
      </c>
      <c r="H33" s="26">
        <v>0</v>
      </c>
      <c r="I33" s="5">
        <f t="shared" si="5"/>
        <v>300</v>
      </c>
      <c r="J33" s="7">
        <f t="shared" si="6"/>
        <v>300</v>
      </c>
      <c r="K33" s="7"/>
      <c r="L33" s="3" t="e">
        <f>#REF!-J33</f>
        <v>#REF!</v>
      </c>
      <c r="M33" s="2"/>
    </row>
    <row r="34" spans="1:13" ht="17.25" customHeight="1" x14ac:dyDescent="0.3">
      <c r="A34" s="1" t="s">
        <v>17</v>
      </c>
      <c r="B34" s="1"/>
      <c r="C34" s="1"/>
      <c r="D34" s="1" t="s">
        <v>70</v>
      </c>
      <c r="E34" s="5"/>
      <c r="F34" s="5">
        <v>1000</v>
      </c>
      <c r="G34" s="34">
        <v>0</v>
      </c>
      <c r="H34" s="26">
        <v>0</v>
      </c>
      <c r="I34" s="5">
        <f t="shared" si="5"/>
        <v>0</v>
      </c>
      <c r="J34" s="7">
        <f t="shared" si="6"/>
        <v>0</v>
      </c>
      <c r="K34" s="7"/>
      <c r="L34" s="3" t="e">
        <f>#REF!-J34</f>
        <v>#REF!</v>
      </c>
      <c r="M34" s="2"/>
    </row>
    <row r="35" spans="1:13" ht="17.25" customHeight="1" x14ac:dyDescent="0.3">
      <c r="A35" s="1" t="s">
        <v>39</v>
      </c>
      <c r="B35" s="1"/>
      <c r="C35" s="1"/>
      <c r="D35" s="1" t="s">
        <v>40</v>
      </c>
      <c r="E35" s="5" t="s">
        <v>96</v>
      </c>
      <c r="F35" s="5">
        <v>40</v>
      </c>
      <c r="G35" s="34">
        <v>4.33</v>
      </c>
      <c r="H35" s="26">
        <v>0</v>
      </c>
      <c r="I35" s="5">
        <f t="shared" si="5"/>
        <v>173.2</v>
      </c>
      <c r="J35" s="7">
        <f t="shared" si="6"/>
        <v>173.2</v>
      </c>
      <c r="K35" s="7"/>
      <c r="L35" s="3" t="e">
        <f>#REF!-J35</f>
        <v>#REF!</v>
      </c>
      <c r="M35" s="2"/>
    </row>
    <row r="36" spans="1:13" ht="17.25" customHeight="1" x14ac:dyDescent="0.3">
      <c r="A36" s="1" t="s">
        <v>41</v>
      </c>
      <c r="B36" s="1"/>
      <c r="C36" s="1"/>
      <c r="D36" s="1" t="s">
        <v>42</v>
      </c>
      <c r="E36" s="5"/>
      <c r="F36" s="5">
        <v>0</v>
      </c>
      <c r="G36" s="34">
        <v>0</v>
      </c>
      <c r="H36" s="26">
        <v>0</v>
      </c>
      <c r="I36" s="5">
        <f t="shared" si="5"/>
        <v>0</v>
      </c>
      <c r="J36" s="7">
        <f t="shared" si="6"/>
        <v>0</v>
      </c>
      <c r="K36" s="7"/>
      <c r="L36" s="3" t="e">
        <f>#REF!-J36</f>
        <v>#REF!</v>
      </c>
      <c r="M36" s="2"/>
    </row>
    <row r="37" spans="1:13" ht="17.25" customHeight="1" x14ac:dyDescent="0.3">
      <c r="A37" s="1" t="s">
        <v>71</v>
      </c>
      <c r="B37" s="1"/>
      <c r="C37" s="1"/>
      <c r="D37" s="1" t="s">
        <v>72</v>
      </c>
      <c r="E37" s="5"/>
      <c r="F37" s="5">
        <v>0</v>
      </c>
      <c r="G37" s="34">
        <v>0</v>
      </c>
      <c r="H37" s="26">
        <v>0</v>
      </c>
      <c r="I37" s="5">
        <f t="shared" si="5"/>
        <v>0</v>
      </c>
      <c r="J37" s="7">
        <f t="shared" si="6"/>
        <v>0</v>
      </c>
      <c r="K37" s="7"/>
      <c r="L37" s="3" t="e">
        <f>#REF!-J37</f>
        <v>#REF!</v>
      </c>
      <c r="M37" s="2"/>
    </row>
    <row r="38" spans="1:13" ht="17.25" customHeight="1" x14ac:dyDescent="0.3">
      <c r="A38" s="1" t="s">
        <v>53</v>
      </c>
      <c r="B38" s="1"/>
      <c r="C38" s="1"/>
      <c r="D38" s="1" t="s">
        <v>73</v>
      </c>
      <c r="E38" s="5" t="s">
        <v>99</v>
      </c>
      <c r="F38" s="42">
        <v>7.25E-5</v>
      </c>
      <c r="G38" s="34">
        <v>10000000</v>
      </c>
      <c r="H38" s="26">
        <v>0</v>
      </c>
      <c r="I38" s="5">
        <f t="shared" si="5"/>
        <v>725</v>
      </c>
      <c r="J38" s="7">
        <f t="shared" si="6"/>
        <v>725</v>
      </c>
      <c r="K38" s="7"/>
      <c r="L38" s="3" t="e">
        <f>#REF!-J38</f>
        <v>#REF!</v>
      </c>
      <c r="M38" s="2"/>
    </row>
    <row r="39" spans="1:13" ht="17.25" customHeight="1" x14ac:dyDescent="0.3">
      <c r="A39" s="1" t="s">
        <v>54</v>
      </c>
      <c r="B39" s="1"/>
      <c r="C39" s="1"/>
      <c r="D39" s="1" t="s">
        <v>55</v>
      </c>
      <c r="E39" s="5"/>
      <c r="F39" s="5">
        <v>0</v>
      </c>
      <c r="G39" s="34">
        <v>0</v>
      </c>
      <c r="H39" s="26">
        <v>0</v>
      </c>
      <c r="I39" s="5">
        <f t="shared" si="5"/>
        <v>0</v>
      </c>
      <c r="J39" s="7">
        <f t="shared" si="6"/>
        <v>0</v>
      </c>
      <c r="K39" s="7"/>
      <c r="L39" s="3" t="e">
        <f>#REF!-J39</f>
        <v>#REF!</v>
      </c>
      <c r="M39" s="2"/>
    </row>
    <row r="40" spans="1:13" ht="17.25" customHeight="1" x14ac:dyDescent="0.3">
      <c r="A40" s="1" t="s">
        <v>43</v>
      </c>
      <c r="B40" s="1"/>
      <c r="C40" s="1"/>
      <c r="D40" s="1" t="s">
        <v>44</v>
      </c>
      <c r="E40" s="5" t="s">
        <v>96</v>
      </c>
      <c r="F40" s="5">
        <v>100</v>
      </c>
      <c r="G40" s="34">
        <v>4.33</v>
      </c>
      <c r="H40" s="26">
        <v>0</v>
      </c>
      <c r="I40" s="5">
        <f t="shared" si="5"/>
        <v>433</v>
      </c>
      <c r="J40" s="7">
        <f t="shared" si="6"/>
        <v>433</v>
      </c>
      <c r="K40" s="7"/>
      <c r="L40" s="3" t="e">
        <f>#REF!-J40</f>
        <v>#REF!</v>
      </c>
      <c r="M40" s="2"/>
    </row>
    <row r="41" spans="1:13" ht="17.25" customHeight="1" x14ac:dyDescent="0.3">
      <c r="A41" s="1" t="s">
        <v>45</v>
      </c>
      <c r="B41" s="1"/>
      <c r="C41" s="1"/>
      <c r="D41" s="1" t="s">
        <v>46</v>
      </c>
      <c r="E41" s="5" t="s">
        <v>97</v>
      </c>
      <c r="F41" s="5">
        <v>500</v>
      </c>
      <c r="G41" s="34">
        <v>1</v>
      </c>
      <c r="H41" s="26">
        <v>0</v>
      </c>
      <c r="I41" s="5">
        <f t="shared" si="5"/>
        <v>500</v>
      </c>
      <c r="J41" s="7">
        <f t="shared" si="6"/>
        <v>500</v>
      </c>
      <c r="K41" s="7"/>
      <c r="L41" s="3" t="e">
        <f>#REF!-J41</f>
        <v>#REF!</v>
      </c>
      <c r="M41" s="2"/>
    </row>
    <row r="42" spans="1:13" ht="16.5" x14ac:dyDescent="0.3">
      <c r="A42" s="1" t="s">
        <v>47</v>
      </c>
      <c r="B42" s="1"/>
      <c r="C42" s="1"/>
      <c r="D42" s="1" t="s">
        <v>48</v>
      </c>
      <c r="E42" s="5"/>
      <c r="F42" s="5">
        <v>0</v>
      </c>
      <c r="G42" s="34">
        <v>0</v>
      </c>
      <c r="H42" s="26">
        <v>0</v>
      </c>
      <c r="I42" s="5">
        <f t="shared" si="5"/>
        <v>0</v>
      </c>
      <c r="J42" s="7">
        <f t="shared" si="6"/>
        <v>0</v>
      </c>
      <c r="K42" s="7"/>
      <c r="L42" s="3" t="e">
        <f>#REF!-J42</f>
        <v>#REF!</v>
      </c>
      <c r="M42" s="2"/>
    </row>
    <row r="43" spans="1:13" ht="16.5" x14ac:dyDescent="0.3">
      <c r="A43" s="2"/>
      <c r="B43" s="2"/>
      <c r="C43" s="2"/>
      <c r="D43" s="2"/>
      <c r="E43" s="8"/>
      <c r="F43" s="8"/>
      <c r="G43" s="8"/>
      <c r="H43" s="8">
        <f>SUM(H4:H42)</f>
        <v>0</v>
      </c>
      <c r="I43" s="8">
        <f>SUM(I4:I42)</f>
        <v>62078.439999999995</v>
      </c>
      <c r="J43" s="4">
        <f>SUM(J4:J16)+SUM(J17:J41)</f>
        <v>62078.44</v>
      </c>
      <c r="K43" s="4"/>
      <c r="L43" s="3" t="e">
        <f>#REF!-I43</f>
        <v>#REF!</v>
      </c>
      <c r="M43" s="2"/>
    </row>
    <row r="44" spans="1:13" ht="16.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6.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6.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6.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6.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6.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6.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6.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6.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6.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6.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6.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6.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6.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6.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6.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6.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6.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6.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6.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6.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6.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6.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6.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6.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6.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6.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6.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6.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6.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6.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6.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6.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6.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6.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6.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6.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6.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6.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6.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6.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6.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6.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6.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6.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6.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6.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6.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6.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6.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6.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6.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6.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6.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6.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6.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6.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6.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6.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6.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6.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6.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6.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6.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6.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6.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6.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</sheetData>
  <printOptions gridLines="1"/>
  <pageMargins left="0.7" right="0.7" top="0.75" bottom="0.75" header="0.3" footer="0.3"/>
  <pageSetup scale="70" orientation="portrait" r:id="rId1"/>
  <headerFooter>
    <oddHeader xml:space="preserve">&amp;LMonthly GC Calculator
</oddHeader>
    <oddFooter>&amp;RDate Printed: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GC's</vt:lpstr>
      <vt:lpstr>GR's</vt:lpstr>
      <vt:lpstr>Monthly GC's</vt:lpstr>
      <vt:lpstr>'GC''s'!Print_Area</vt:lpstr>
      <vt:lpstr>'GR''s'!Print_Area</vt:lpstr>
      <vt:lpstr>'Monthly GC''s'!Print_Area</vt:lpstr>
      <vt:lpstr>'GR''s'!Print_Titles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Hacker</dc:creator>
  <cp:lastModifiedBy>Avery Hacker</cp:lastModifiedBy>
  <cp:lastPrinted>2022-04-05T18:36:47Z</cp:lastPrinted>
  <dcterms:created xsi:type="dcterms:W3CDTF">2013-10-14T14:26:12Z</dcterms:created>
  <dcterms:modified xsi:type="dcterms:W3CDTF">2026-06-01T18:53:29Z</dcterms:modified>
</cp:coreProperties>
</file>