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recon\NV\2025 Projects\25-10-003 - NCSD - Tonopah HS Sports Field Phs'd Replacement\14.0 - GMP Docs\01 Backsheet\02 - OPS GC's &amp; GR's\"/>
    </mc:Choice>
  </mc:AlternateContent>
  <xr:revisionPtr revIDLastSave="0" documentId="13_ncr:1_{33D7BA68-5D25-4273-8F82-B076FD765B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C's" sheetId="4" r:id="rId1"/>
    <sheet name="Monthly GC's" sheetId="5" r:id="rId2"/>
  </sheets>
  <definedNames>
    <definedName name="_xlnm.Print_Area" localSheetId="0">'GC''s'!$A$1:$O$40</definedName>
    <definedName name="_xlnm.Print_Area" localSheetId="1">'Monthly GC''s'!$A$1:$M$43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4" l="1"/>
  <c r="H33" i="4"/>
  <c r="K25" i="4"/>
  <c r="K37" i="4"/>
  <c r="L37" i="4" s="1"/>
  <c r="K36" i="4"/>
  <c r="L36" i="4" s="1"/>
  <c r="K35" i="4"/>
  <c r="L35" i="4"/>
  <c r="K28" i="4"/>
  <c r="L28" i="4" s="1"/>
  <c r="K32" i="4"/>
  <c r="L32" i="4" s="1"/>
  <c r="L25" i="4"/>
  <c r="K4" i="4"/>
  <c r="I19" i="4"/>
  <c r="K19" i="4" s="1"/>
  <c r="L19" i="4" s="1"/>
  <c r="I20" i="4"/>
  <c r="K20" i="4" s="1"/>
  <c r="L20" i="4" s="1"/>
  <c r="I10" i="4"/>
  <c r="K10" i="4" s="1"/>
  <c r="L10" i="4" s="1"/>
  <c r="I11" i="4"/>
  <c r="I39" i="4" s="1"/>
  <c r="K39" i="4" s="1"/>
  <c r="I12" i="4"/>
  <c r="K12" i="4" s="1"/>
  <c r="L12" i="4" s="1"/>
  <c r="I13" i="4"/>
  <c r="K13" i="4" s="1"/>
  <c r="L13" i="4" s="1"/>
  <c r="I14" i="4"/>
  <c r="K14" i="4" s="1"/>
  <c r="L14" i="4" s="1"/>
  <c r="I15" i="4"/>
  <c r="K15" i="4" s="1"/>
  <c r="L15" i="4" s="1"/>
  <c r="I16" i="4"/>
  <c r="K16" i="4" s="1"/>
  <c r="L16" i="4" s="1"/>
  <c r="I17" i="4"/>
  <c r="K17" i="4" s="1"/>
  <c r="L17" i="4" s="1"/>
  <c r="I4" i="4"/>
  <c r="I5" i="4"/>
  <c r="K5" i="4" s="1"/>
  <c r="L5" i="4" s="1"/>
  <c r="I6" i="4"/>
  <c r="K6" i="4" s="1"/>
  <c r="L6" i="4" s="1"/>
  <c r="I7" i="4"/>
  <c r="K7" i="4" s="1"/>
  <c r="L7" i="4" s="1"/>
  <c r="I8" i="4"/>
  <c r="K8" i="4" s="1"/>
  <c r="L8" i="4" s="1"/>
  <c r="I9" i="4"/>
  <c r="K9" i="4" s="1"/>
  <c r="L9" i="4" s="1"/>
  <c r="I22" i="4" l="1"/>
  <c r="K22" i="4" s="1"/>
  <c r="I26" i="4"/>
  <c r="K26" i="4" s="1"/>
  <c r="L26" i="4" s="1"/>
  <c r="I29" i="4"/>
  <c r="K29" i="4" s="1"/>
  <c r="L29" i="4" s="1"/>
  <c r="I24" i="4"/>
  <c r="K24" i="4" s="1"/>
  <c r="I21" i="4"/>
  <c r="K21" i="4" s="1"/>
  <c r="I27" i="4"/>
  <c r="K27" i="4" s="1"/>
  <c r="I30" i="4"/>
  <c r="K30" i="4" s="1"/>
  <c r="I23" i="4"/>
  <c r="K11" i="4"/>
  <c r="L11" i="4" s="1"/>
  <c r="I38" i="4"/>
  <c r="K38" i="4" s="1"/>
  <c r="I31" i="4"/>
  <c r="K31" i="4" s="1"/>
  <c r="I34" i="4"/>
  <c r="K34" i="4" s="1"/>
  <c r="N32" i="4"/>
  <c r="L39" i="4" l="1"/>
  <c r="N8" i="4"/>
  <c r="N39" i="4" l="1"/>
  <c r="L27" i="4"/>
  <c r="L38" i="4"/>
  <c r="L34" i="4" l="1"/>
  <c r="L24" i="4"/>
  <c r="N6" i="4"/>
  <c r="N20" i="4"/>
  <c r="N16" i="4" l="1"/>
  <c r="N12" i="4" l="1"/>
  <c r="N13" i="4"/>
  <c r="J40" i="4" l="1"/>
  <c r="N24" i="4"/>
  <c r="I16" i="5"/>
  <c r="I24" i="5"/>
  <c r="I25" i="5"/>
  <c r="J25" i="5"/>
  <c r="L25" i="5"/>
  <c r="I26" i="5"/>
  <c r="J26" i="5"/>
  <c r="L26" i="5"/>
  <c r="I27" i="5"/>
  <c r="J27" i="5"/>
  <c r="L27" i="5"/>
  <c r="I28" i="5"/>
  <c r="J28" i="5"/>
  <c r="L28" i="5"/>
  <c r="I29" i="5"/>
  <c r="J29" i="5"/>
  <c r="L29" i="5"/>
  <c r="I30" i="5"/>
  <c r="J30" i="5"/>
  <c r="L30" i="5"/>
  <c r="I31" i="5"/>
  <c r="J31" i="5"/>
  <c r="L31" i="5"/>
  <c r="I32" i="5"/>
  <c r="J32" i="5"/>
  <c r="L32" i="5"/>
  <c r="I33" i="5"/>
  <c r="J33" i="5"/>
  <c r="L33" i="5"/>
  <c r="I34" i="5"/>
  <c r="J34" i="5"/>
  <c r="L34" i="5"/>
  <c r="I35" i="5"/>
  <c r="J35" i="5"/>
  <c r="L35" i="5"/>
  <c r="I36" i="5"/>
  <c r="J36" i="5"/>
  <c r="L36" i="5"/>
  <c r="I37" i="5"/>
  <c r="J37" i="5"/>
  <c r="L37" i="5"/>
  <c r="I38" i="5"/>
  <c r="J38" i="5"/>
  <c r="L38" i="5"/>
  <c r="I39" i="5"/>
  <c r="J39" i="5"/>
  <c r="L39" i="5"/>
  <c r="I40" i="5"/>
  <c r="I41" i="5"/>
  <c r="I42" i="5"/>
  <c r="J42" i="5"/>
  <c r="L42" i="5"/>
  <c r="I23" i="5"/>
  <c r="L23" i="5"/>
  <c r="F5" i="5"/>
  <c r="F6" i="5"/>
  <c r="F7" i="5"/>
  <c r="I7" i="5"/>
  <c r="J7" i="5"/>
  <c r="F8" i="5"/>
  <c r="F9" i="5"/>
  <c r="F10" i="5"/>
  <c r="F11" i="5"/>
  <c r="F12" i="5"/>
  <c r="F13" i="5"/>
  <c r="F14" i="5"/>
  <c r="F15" i="5"/>
  <c r="F16" i="5"/>
  <c r="J16" i="5"/>
  <c r="F17" i="5"/>
  <c r="I17" i="5"/>
  <c r="J17" i="5"/>
  <c r="L17" i="5"/>
  <c r="F18" i="5"/>
  <c r="F19" i="5"/>
  <c r="F20" i="5"/>
  <c r="F4" i="5"/>
  <c r="I19" i="5"/>
  <c r="J19" i="5"/>
  <c r="I12" i="5"/>
  <c r="J12" i="5"/>
  <c r="I8" i="5"/>
  <c r="J8" i="5"/>
  <c r="I4" i="5"/>
  <c r="H43" i="5"/>
  <c r="J41" i="5"/>
  <c r="L41" i="5"/>
  <c r="J40" i="5"/>
  <c r="L40" i="5"/>
  <c r="J24" i="5"/>
  <c r="L24" i="5"/>
  <c r="N29" i="4"/>
  <c r="K2" i="4"/>
  <c r="K1" i="4"/>
  <c r="N35" i="4"/>
  <c r="N25" i="4"/>
  <c r="N28" i="4"/>
  <c r="N26" i="4"/>
  <c r="N27" i="4"/>
  <c r="N34" i="4"/>
  <c r="N37" i="4"/>
  <c r="N36" i="4"/>
  <c r="N38" i="4"/>
  <c r="I6" i="5"/>
  <c r="J6" i="5"/>
  <c r="K6" i="5"/>
  <c r="I14" i="5"/>
  <c r="J14" i="5"/>
  <c r="I18" i="5"/>
  <c r="J18" i="5"/>
  <c r="L18" i="5"/>
  <c r="I10" i="5"/>
  <c r="J10" i="5"/>
  <c r="L10" i="5"/>
  <c r="J23" i="5"/>
  <c r="I20" i="5"/>
  <c r="J20" i="5"/>
  <c r="L20" i="5"/>
  <c r="I5" i="5"/>
  <c r="J5" i="5"/>
  <c r="L5" i="5"/>
  <c r="I11" i="5"/>
  <c r="J11" i="5"/>
  <c r="L11" i="5"/>
  <c r="I9" i="5"/>
  <c r="J9" i="5"/>
  <c r="F21" i="5"/>
  <c r="I21" i="5"/>
  <c r="J21" i="5"/>
  <c r="L21" i="5"/>
  <c r="F22" i="5"/>
  <c r="I22" i="5"/>
  <c r="J22" i="5"/>
  <c r="L22" i="5"/>
  <c r="I13" i="5"/>
  <c r="J13" i="5"/>
  <c r="K13" i="5"/>
  <c r="I15" i="5"/>
  <c r="J15" i="5"/>
  <c r="K15" i="5"/>
  <c r="L12" i="5"/>
  <c r="K12" i="5"/>
  <c r="K7" i="5"/>
  <c r="L7" i="5"/>
  <c r="L14" i="5"/>
  <c r="K14" i="5"/>
  <c r="L8" i="5"/>
  <c r="K8" i="5"/>
  <c r="L16" i="5"/>
  <c r="K16" i="5"/>
  <c r="L19" i="5"/>
  <c r="K19" i="5"/>
  <c r="L9" i="5"/>
  <c r="K9" i="5"/>
  <c r="K10" i="5"/>
  <c r="K17" i="5"/>
  <c r="K18" i="5"/>
  <c r="L6" i="5"/>
  <c r="K20" i="5"/>
  <c r="K11" i="5"/>
  <c r="K5" i="5"/>
  <c r="L15" i="5"/>
  <c r="L13" i="5"/>
  <c r="I43" i="5"/>
  <c r="L43" i="5"/>
  <c r="J4" i="5"/>
  <c r="E40" i="4"/>
  <c r="L4" i="5"/>
  <c r="K4" i="5"/>
  <c r="J43" i="5"/>
  <c r="K33" i="4" l="1"/>
  <c r="L33" i="4" s="1"/>
  <c r="M11" i="4"/>
  <c r="K23" i="4"/>
  <c r="N15" i="4"/>
  <c r="M8" i="4"/>
  <c r="M20" i="4"/>
  <c r="M6" i="4"/>
  <c r="L4" i="4"/>
  <c r="N4" i="4" s="1"/>
  <c r="M12" i="4"/>
  <c r="M13" i="4"/>
  <c r="M5" i="4"/>
  <c r="M14" i="4"/>
  <c r="N14" i="4"/>
  <c r="M10" i="4"/>
  <c r="N10" i="4"/>
  <c r="N17" i="4"/>
  <c r="N9" i="4"/>
  <c r="M9" i="4"/>
  <c r="N5" i="4"/>
  <c r="N19" i="4"/>
  <c r="M19" i="4"/>
  <c r="K18" i="4" l="1"/>
  <c r="L18" i="4" s="1"/>
  <c r="L23" i="4"/>
  <c r="N23" i="4" s="1"/>
  <c r="N33" i="4"/>
  <c r="N11" i="4"/>
  <c r="M15" i="4"/>
  <c r="N7" i="4"/>
  <c r="M7" i="4"/>
  <c r="M17" i="4"/>
  <c r="M16" i="4"/>
  <c r="M4" i="4"/>
  <c r="N18" i="4" l="1"/>
  <c r="L21" i="4" l="1"/>
  <c r="N21" i="4" l="1"/>
  <c r="L22" i="4"/>
  <c r="N22" i="4" s="1"/>
  <c r="L31" i="4" l="1"/>
  <c r="L30" i="4"/>
  <c r="K40" i="4"/>
  <c r="N30" i="4" l="1"/>
  <c r="L40" i="4"/>
  <c r="N40" i="4" s="1"/>
  <c r="N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Avery Hacker</author>
  </authors>
  <commentList>
    <comment ref="F3" authorId="0" shapeId="0" xr:uid="{27F741A6-65A4-485D-84B9-EE9398BBBD54}">
      <text>
        <r>
          <rPr>
            <b/>
            <sz val="9"/>
            <color indexed="81"/>
            <rFont val="Tahoma"/>
            <family val="2"/>
          </rPr>
          <t>Avery Hacker:</t>
        </r>
        <r>
          <rPr>
            <sz val="9"/>
            <color indexed="81"/>
            <rFont val="Tahoma"/>
            <family val="2"/>
          </rPr>
          <t xml:space="preserve">
Date needs to be entered for any personnel not yet charging to the project</t>
        </r>
      </text>
    </comment>
    <comment ref="G3" authorId="0" shapeId="0" xr:uid="{7AC79C84-7089-438A-A727-CA3BD0CDCACF}">
      <text>
        <r>
          <rPr>
            <b/>
            <sz val="9"/>
            <color indexed="81"/>
            <rFont val="Tahoma"/>
            <family val="2"/>
          </rPr>
          <t>Avery Hacker:</t>
        </r>
        <r>
          <rPr>
            <sz val="9"/>
            <color indexed="81"/>
            <rFont val="Tahoma"/>
            <family val="2"/>
          </rPr>
          <t xml:space="preserve">
Date needs to be entered for any personnel that won't be charging to the end of the project</t>
        </r>
      </text>
    </comment>
  </commentList>
</comments>
</file>

<file path=xl/sharedStrings.xml><?xml version="1.0" encoding="utf-8"?>
<sst xmlns="http://schemas.openxmlformats.org/spreadsheetml/2006/main" count="201" uniqueCount="129">
  <si>
    <t>Project Manager</t>
  </si>
  <si>
    <t>Project Coordinator</t>
  </si>
  <si>
    <t>Dir. Of Field Operations</t>
  </si>
  <si>
    <t>Assistant Superintendent</t>
  </si>
  <si>
    <t>Projection</t>
  </si>
  <si>
    <t>01-2007-10000</t>
  </si>
  <si>
    <t>01-2010-10000</t>
  </si>
  <si>
    <t>01-2012-10000</t>
  </si>
  <si>
    <t>01-2013-10000</t>
  </si>
  <si>
    <t>01-2017-10000</t>
  </si>
  <si>
    <t>Code</t>
  </si>
  <si>
    <t>Title</t>
  </si>
  <si>
    <t>Variance</t>
  </si>
  <si>
    <t>01-1100-10000</t>
  </si>
  <si>
    <t>01-2160-10000</t>
  </si>
  <si>
    <t>01-5015-10000</t>
  </si>
  <si>
    <t>01-5021-10000</t>
  </si>
  <si>
    <t>01-5030-10000</t>
  </si>
  <si>
    <t>Meeting Supplies</t>
  </si>
  <si>
    <t>Trailer Mobilize/Demobilize</t>
  </si>
  <si>
    <t>Trailer Equipment/Supplies</t>
  </si>
  <si>
    <t>Original Estimate</t>
  </si>
  <si>
    <t>Contract Rate</t>
  </si>
  <si>
    <t>Notes</t>
  </si>
  <si>
    <t>Monthly Budget
1 Month</t>
  </si>
  <si>
    <t>Project Superintendent</t>
  </si>
  <si>
    <t>01-2030-10000</t>
  </si>
  <si>
    <t>Vehicle Expenses</t>
  </si>
  <si>
    <t>01-2170-10000</t>
  </si>
  <si>
    <t>Photographs</t>
  </si>
  <si>
    <t>01-2850-10000</t>
  </si>
  <si>
    <t>Textura Fee</t>
  </si>
  <si>
    <t>01-5160-10000</t>
  </si>
  <si>
    <t>Mobile/Cell Service</t>
  </si>
  <si>
    <t>Hrs Billed per Week</t>
  </si>
  <si>
    <t>General Superintendent</t>
  </si>
  <si>
    <t>01-2018-10000</t>
  </si>
  <si>
    <t>Project Accountant</t>
  </si>
  <si>
    <t>LCP Tracker</t>
  </si>
  <si>
    <t>01-5240-10000</t>
  </si>
  <si>
    <t>Trailer Drinking Water</t>
  </si>
  <si>
    <t>01-6000-10000</t>
  </si>
  <si>
    <t>Submittal Exchange</t>
  </si>
  <si>
    <t>01-6070-10000</t>
  </si>
  <si>
    <t>Safety Equipment</t>
  </si>
  <si>
    <t>01-6075-10000</t>
  </si>
  <si>
    <t>Safety - Contract Service</t>
  </si>
  <si>
    <t>01-7010-10000</t>
  </si>
  <si>
    <t>Detail &amp; Close-Out</t>
  </si>
  <si>
    <t>01-2005-10000</t>
  </si>
  <si>
    <t>Assistant Project Manager</t>
  </si>
  <si>
    <t>Blueprinting</t>
  </si>
  <si>
    <t>01-5023-10000</t>
  </si>
  <si>
    <t>01-6002-10000</t>
  </si>
  <si>
    <t>01-6065-10000</t>
  </si>
  <si>
    <t>Promotional</t>
  </si>
  <si>
    <t>01-5020-10000</t>
  </si>
  <si>
    <t>Trailer Rent</t>
  </si>
  <si>
    <t>01-2003-10000</t>
  </si>
  <si>
    <t>01-2021-10000</t>
  </si>
  <si>
    <t>01-2022-10000</t>
  </si>
  <si>
    <t>01-2023-10000</t>
  </si>
  <si>
    <t>MPE Manager</t>
  </si>
  <si>
    <t>Quality Manager</t>
  </si>
  <si>
    <t>01-2175-10000</t>
  </si>
  <si>
    <t>Real Time Video Camera</t>
  </si>
  <si>
    <t>01-2800-10000</t>
  </si>
  <si>
    <t>01-5022-10000</t>
  </si>
  <si>
    <t>Jobsite Copy Machine</t>
  </si>
  <si>
    <t>Jobsite Phone/Data</t>
  </si>
  <si>
    <t>State Trailer</t>
  </si>
  <si>
    <t>01-6001-10000</t>
  </si>
  <si>
    <t>Multivista</t>
  </si>
  <si>
    <t>Procore</t>
  </si>
  <si>
    <t>Contract Administrator</t>
  </si>
  <si>
    <t>Status Date</t>
  </si>
  <si>
    <t>Projected Through</t>
  </si>
  <si>
    <t>Weeks Remaining</t>
  </si>
  <si>
    <t>Actual Costs to Date</t>
  </si>
  <si>
    <t>01-2006-10000</t>
  </si>
  <si>
    <t>01-2014-10000</t>
  </si>
  <si>
    <t>01-2015-10000</t>
  </si>
  <si>
    <t>Months Remaining:</t>
  </si>
  <si>
    <t>Weeks Remaining:</t>
  </si>
  <si>
    <t>Job Name - GC's</t>
  </si>
  <si>
    <t>CORE Team Member</t>
  </si>
  <si>
    <t>Senior Project Manager</t>
  </si>
  <si>
    <t>01-2004-10000</t>
  </si>
  <si>
    <t>01-2011-10000</t>
  </si>
  <si>
    <t>Senior Project Superintendent</t>
  </si>
  <si>
    <t>01-2009-10000</t>
  </si>
  <si>
    <t>Intern</t>
  </si>
  <si>
    <r>
      <t>Charging End Date</t>
    </r>
    <r>
      <rPr>
        <b/>
        <sz val="8"/>
        <rFont val="Arial Narrow"/>
        <family val="2"/>
      </rPr>
      <t xml:space="preserve"> (only enter if end date is earlier than projected date)</t>
    </r>
  </si>
  <si>
    <r>
      <t>Charging Start Date</t>
    </r>
    <r>
      <rPr>
        <b/>
        <sz val="11"/>
        <rFont val="Arial Narrow"/>
        <family val="2"/>
      </rPr>
      <t xml:space="preserve"> </t>
    </r>
    <r>
      <rPr>
        <b/>
        <sz val="8"/>
        <rFont val="Arial Narrow"/>
        <family val="2"/>
      </rPr>
      <t>(only enter if start date is later than status date)</t>
    </r>
  </si>
  <si>
    <t>Remaining Cost</t>
  </si>
  <si>
    <t>Cost</t>
  </si>
  <si>
    <t>% Allocation</t>
  </si>
  <si>
    <t>Monthly GC Calculator</t>
  </si>
  <si>
    <t>per week</t>
  </si>
  <si>
    <t>per month</t>
  </si>
  <si>
    <t>each</t>
  </si>
  <si>
    <t>Per contract</t>
  </si>
  <si>
    <t>Project Engineer</t>
  </si>
  <si>
    <t>Project Director</t>
  </si>
  <si>
    <t>PC and CPR</t>
  </si>
  <si>
    <t>Room &amp; Board</t>
  </si>
  <si>
    <t>Travel Expenses</t>
  </si>
  <si>
    <t>01-2019-10000</t>
  </si>
  <si>
    <t>Certified Payroll</t>
  </si>
  <si>
    <t>01-2002-10000</t>
  </si>
  <si>
    <t>MPE/BIM Manager</t>
  </si>
  <si>
    <t>01-2020-10001</t>
  </si>
  <si>
    <t>01-2050-10000</t>
  </si>
  <si>
    <t>01-2220-10000</t>
  </si>
  <si>
    <t>01-2250-10000</t>
  </si>
  <si>
    <t>01-5024-10000</t>
  </si>
  <si>
    <t>01-6003-10000</t>
  </si>
  <si>
    <t>01-5025-10000</t>
  </si>
  <si>
    <t>Project Supplies</t>
  </si>
  <si>
    <t>Project Identification</t>
  </si>
  <si>
    <t>Drone + progress + final</t>
  </si>
  <si>
    <t>01-5120-10001</t>
  </si>
  <si>
    <t>Assistant Contract Administrator</t>
  </si>
  <si>
    <t>Tommy Subsistence</t>
  </si>
  <si>
    <t>01-2050-20000</t>
  </si>
  <si>
    <t>NCSD - Tonopah Field Replacement</t>
  </si>
  <si>
    <t>BIM Manager</t>
  </si>
  <si>
    <t>GMP Value</t>
  </si>
  <si>
    <t>Drone Deploy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</si>
</sst>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u/>
      <sz val="16"/>
      <color theme="1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Arial Narrow"/>
      <family val="2"/>
    </font>
    <font>
      <u/>
      <sz val="11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 Narrow"/>
      <family val="2"/>
    </font>
    <font>
      <b/>
      <sz val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4">
    <xf numFmtId="0" fontId="0" fillId="0" borderId="0" xfId="0"/>
    <xf numFmtId="0" fontId="1" fillId="0" borderId="1" xfId="0" applyFont="1" applyBorder="1"/>
    <xf numFmtId="0" fontId="1" fillId="0" borderId="0" xfId="0" applyFont="1"/>
    <xf numFmtId="6" fontId="2" fillId="0" borderId="1" xfId="0" applyNumberFormat="1" applyFont="1" applyBorder="1"/>
    <xf numFmtId="164" fontId="2" fillId="0" borderId="0" xfId="0" applyNumberFormat="1" applyFont="1" applyAlignment="1">
      <alignment horizontal="center"/>
    </xf>
    <xf numFmtId="6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6" fontId="2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37" fontId="1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6" fontId="1" fillId="2" borderId="1" xfId="0" applyNumberFormat="1" applyFont="1" applyFill="1" applyBorder="1" applyAlignment="1">
      <alignment horizontal="center"/>
    </xf>
    <xf numFmtId="1" fontId="0" fillId="0" borderId="0" xfId="0" applyNumberFormat="1"/>
    <xf numFmtId="14" fontId="1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1" fillId="2" borderId="1" xfId="0" applyFont="1" applyFill="1" applyBorder="1"/>
    <xf numFmtId="14" fontId="7" fillId="2" borderId="0" xfId="0" applyNumberFormat="1" applyFont="1" applyFill="1" applyAlignment="1">
      <alignment horizontal="center"/>
    </xf>
    <xf numFmtId="37" fontId="1" fillId="2" borderId="1" xfId="1" applyNumberFormat="1" applyFont="1" applyFill="1" applyBorder="1" applyAlignment="1">
      <alignment horizontal="center"/>
    </xf>
    <xf numFmtId="6" fontId="1" fillId="0" borderId="2" xfId="0" applyNumberFormat="1" applyFont="1" applyBorder="1" applyAlignment="1">
      <alignment horizontal="center"/>
    </xf>
    <xf numFmtId="6" fontId="1" fillId="0" borderId="3" xfId="0" applyNumberFormat="1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39" fontId="1" fillId="0" borderId="4" xfId="1" applyNumberFormat="1" applyFont="1" applyBorder="1" applyAlignment="1">
      <alignment horizontal="center"/>
    </xf>
    <xf numFmtId="37" fontId="1" fillId="0" borderId="3" xfId="1" applyNumberFormat="1" applyFont="1" applyFill="1" applyBorder="1" applyAlignment="1">
      <alignment horizontal="center"/>
    </xf>
    <xf numFmtId="9" fontId="1" fillId="0" borderId="1" xfId="2" applyFont="1" applyFill="1" applyBorder="1" applyAlignment="1">
      <alignment horizontal="center"/>
    </xf>
    <xf numFmtId="37" fontId="1" fillId="0" borderId="4" xfId="1" applyNumberFormat="1" applyFont="1" applyFill="1" applyBorder="1" applyAlignment="1">
      <alignment horizontal="center"/>
    </xf>
    <xf numFmtId="9" fontId="1" fillId="2" borderId="4" xfId="2" applyFont="1" applyFill="1" applyBorder="1" applyAlignment="1">
      <alignment horizontal="center"/>
    </xf>
    <xf numFmtId="9" fontId="1" fillId="2" borderId="1" xfId="2" applyFont="1" applyFill="1" applyBorder="1" applyAlignment="1">
      <alignment horizontal="center"/>
    </xf>
    <xf numFmtId="9" fontId="1" fillId="2" borderId="3" xfId="2" applyFont="1" applyFill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0" fontId="1" fillId="0" borderId="1" xfId="0" applyNumberFormat="1" applyFont="1" applyBorder="1" applyAlignment="1">
      <alignment horizontal="center"/>
    </xf>
    <xf numFmtId="9" fontId="1" fillId="3" borderId="1" xfId="2" applyFont="1" applyFill="1" applyBorder="1" applyAlignment="1">
      <alignment horizontal="center"/>
    </xf>
    <xf numFmtId="9" fontId="1" fillId="3" borderId="3" xfId="2" applyFont="1" applyFill="1" applyBorder="1" applyAlignment="1">
      <alignment horizontal="center"/>
    </xf>
    <xf numFmtId="9" fontId="1" fillId="3" borderId="4" xfId="2" applyFont="1" applyFill="1" applyBorder="1" applyAlignment="1">
      <alignment horizontal="center"/>
    </xf>
    <xf numFmtId="37" fontId="1" fillId="0" borderId="1" xfId="1" applyNumberFormat="1" applyFont="1" applyFill="1" applyBorder="1" applyAlignment="1">
      <alignment horizontal="center"/>
    </xf>
    <xf numFmtId="6" fontId="0" fillId="0" borderId="0" xfId="0" applyNumberFormat="1"/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</cellXfs>
  <cellStyles count="3">
    <cellStyle name="Currency" xfId="1" builtinId="4"/>
    <cellStyle name="Normal" xfId="0" builtinId="0"/>
    <cellStyle name="Percent" xfId="2" builtinId="5"/>
  </cellStyles>
  <dxfs count="5">
    <dxf>
      <font>
        <b/>
        <i val="0"/>
        <strike/>
        <color rgb="FFFF0000"/>
      </font>
    </dxf>
    <dxf>
      <font>
        <b/>
        <i val="0"/>
        <strike/>
        <color rgb="FFFF0000"/>
      </font>
    </dxf>
    <dxf>
      <font>
        <b/>
        <i val="0"/>
        <strike/>
        <color rgb="FFFF0000"/>
      </font>
    </dxf>
    <dxf>
      <font>
        <b/>
        <i val="0"/>
        <strike/>
        <color rgb="FFFF0000"/>
      </font>
    </dxf>
    <dxf>
      <font>
        <b/>
        <i val="0"/>
        <strike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FF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8"/>
  <sheetViews>
    <sheetView tabSelected="1" topLeftCell="A13" zoomScale="80" zoomScaleNormal="80" zoomScalePageLayoutView="80" workbookViewId="0">
      <selection activeCell="K27" sqref="K27:K28"/>
    </sheetView>
  </sheetViews>
  <sheetFormatPr defaultRowHeight="14.5" x14ac:dyDescent="0.35"/>
  <cols>
    <col min="1" max="1" width="15.453125" customWidth="1"/>
    <col min="2" max="2" width="9" bestFit="1" customWidth="1"/>
    <col min="3" max="3" width="7.7265625" customWidth="1"/>
    <col min="4" max="4" width="29.7265625" customWidth="1"/>
    <col min="5" max="7" width="10.7265625" customWidth="1"/>
    <col min="8" max="9" width="10.1796875" customWidth="1"/>
    <col min="10" max="10" width="10.1796875" hidden="1" customWidth="1"/>
    <col min="11" max="11" width="10.54296875" customWidth="1"/>
    <col min="12" max="12" width="10.81640625" hidden="1" customWidth="1"/>
    <col min="13" max="13" width="14.1796875" hidden="1" customWidth="1"/>
    <col min="14" max="14" width="16.7265625" customWidth="1"/>
    <col min="15" max="15" width="24.453125" customWidth="1"/>
    <col min="16" max="16" width="14.26953125" bestFit="1" customWidth="1"/>
    <col min="17" max="17" width="9.1796875" customWidth="1"/>
    <col min="23" max="23" width="22.7265625" customWidth="1"/>
  </cols>
  <sheetData>
    <row r="1" spans="1:16" ht="20" x14ac:dyDescent="0.4">
      <c r="A1" s="10" t="s">
        <v>125</v>
      </c>
      <c r="B1" s="10"/>
      <c r="C1" s="12"/>
      <c r="D1" s="12"/>
      <c r="E1" s="12"/>
      <c r="F1" s="12"/>
      <c r="G1" s="12"/>
      <c r="H1" s="17" t="s">
        <v>82</v>
      </c>
      <c r="I1" s="17"/>
      <c r="J1" s="17"/>
      <c r="K1" s="18">
        <f>((O2-O1)/365)*12</f>
        <v>14.827397260273973</v>
      </c>
      <c r="L1" s="12"/>
      <c r="M1" s="2"/>
      <c r="N1" s="21" t="s">
        <v>75</v>
      </c>
      <c r="O1" s="23">
        <v>46223</v>
      </c>
    </row>
    <row r="2" spans="1:16" ht="20" x14ac:dyDescent="0.4">
      <c r="A2" s="10"/>
      <c r="B2" s="10"/>
      <c r="C2" s="12"/>
      <c r="D2" s="12"/>
      <c r="E2" s="12"/>
      <c r="F2" s="12"/>
      <c r="G2" s="12"/>
      <c r="H2" s="17" t="s">
        <v>83</v>
      </c>
      <c r="I2" s="17"/>
      <c r="J2" s="17"/>
      <c r="K2" s="19">
        <f>(O2-O1)/7</f>
        <v>64.428571428571431</v>
      </c>
      <c r="L2" s="12"/>
      <c r="M2" s="2"/>
      <c r="N2" s="21" t="s">
        <v>76</v>
      </c>
      <c r="O2" s="23">
        <v>46674</v>
      </c>
    </row>
    <row r="3" spans="1:16" ht="71" x14ac:dyDescent="0.35">
      <c r="A3" s="11" t="s">
        <v>10</v>
      </c>
      <c r="B3" s="13" t="s">
        <v>85</v>
      </c>
      <c r="C3" s="13" t="s">
        <v>22</v>
      </c>
      <c r="D3" s="11" t="s">
        <v>11</v>
      </c>
      <c r="E3" s="6" t="s">
        <v>21</v>
      </c>
      <c r="F3" s="6" t="s">
        <v>93</v>
      </c>
      <c r="G3" s="27" t="s">
        <v>92</v>
      </c>
      <c r="H3" s="6" t="s">
        <v>34</v>
      </c>
      <c r="I3" s="6" t="s">
        <v>77</v>
      </c>
      <c r="J3" s="6" t="s">
        <v>78</v>
      </c>
      <c r="K3" s="6" t="s">
        <v>94</v>
      </c>
      <c r="L3" s="6" t="s">
        <v>4</v>
      </c>
      <c r="M3" s="6" t="s">
        <v>24</v>
      </c>
      <c r="N3" s="6" t="s">
        <v>12</v>
      </c>
      <c r="O3" s="6" t="s">
        <v>23</v>
      </c>
    </row>
    <row r="4" spans="1:16" ht="17.25" customHeight="1" x14ac:dyDescent="0.35">
      <c r="A4" s="1" t="s">
        <v>109</v>
      </c>
      <c r="B4" s="1"/>
      <c r="C4" s="22">
        <v>189</v>
      </c>
      <c r="D4" s="1" t="s">
        <v>103</v>
      </c>
      <c r="E4" s="5"/>
      <c r="F4" s="16"/>
      <c r="G4" s="16"/>
      <c r="H4" s="24">
        <v>4</v>
      </c>
      <c r="I4" s="9">
        <f t="shared" ref="I4:I20" si="0">(IF(G4="",$O$2,G4)-IF(F4="",$O$1,F4))/7</f>
        <v>64.428571428571431</v>
      </c>
      <c r="J4" s="5"/>
      <c r="K4" s="5">
        <f>(C4*H4*I4)</f>
        <v>48708</v>
      </c>
      <c r="L4" s="7">
        <f t="shared" ref="L4:L39" si="1">K4+J4</f>
        <v>48708</v>
      </c>
      <c r="M4" s="14">
        <f t="shared" ref="M4:M17" si="2">L4/$K$1</f>
        <v>3285</v>
      </c>
      <c r="N4" s="3">
        <f t="shared" ref="N4:N38" si="3">E4-L4</f>
        <v>-48708</v>
      </c>
      <c r="O4" s="2"/>
      <c r="P4" s="15"/>
    </row>
    <row r="5" spans="1:16" ht="17.25" hidden="1" customHeight="1" x14ac:dyDescent="0.35">
      <c r="A5" s="1" t="s">
        <v>58</v>
      </c>
      <c r="B5" s="1"/>
      <c r="C5" s="22">
        <v>174</v>
      </c>
      <c r="D5" s="1" t="s">
        <v>86</v>
      </c>
      <c r="E5" s="5"/>
      <c r="F5" s="16"/>
      <c r="G5" s="16"/>
      <c r="H5" s="24">
        <v>0</v>
      </c>
      <c r="I5" s="9">
        <f t="shared" si="0"/>
        <v>64.428571428571431</v>
      </c>
      <c r="J5" s="5"/>
      <c r="K5" s="5">
        <f t="shared" ref="K5:K20" si="4">(C5*H5*I5)</f>
        <v>0</v>
      </c>
      <c r="L5" s="7">
        <f t="shared" si="1"/>
        <v>0</v>
      </c>
      <c r="M5" s="14">
        <f t="shared" si="2"/>
        <v>0</v>
      </c>
      <c r="N5" s="3">
        <f t="shared" si="3"/>
        <v>0</v>
      </c>
      <c r="O5" s="2"/>
      <c r="P5" s="15"/>
    </row>
    <row r="6" spans="1:16" ht="17.25" customHeight="1" x14ac:dyDescent="0.35">
      <c r="A6" s="43" t="s">
        <v>87</v>
      </c>
      <c r="B6" s="1"/>
      <c r="C6" s="22">
        <v>137</v>
      </c>
      <c r="D6" s="1" t="s">
        <v>0</v>
      </c>
      <c r="E6" s="5"/>
      <c r="F6" s="16">
        <v>46321</v>
      </c>
      <c r="G6" s="16"/>
      <c r="H6" s="24">
        <v>20</v>
      </c>
      <c r="I6" s="9">
        <f t="shared" si="0"/>
        <v>50.428571428571431</v>
      </c>
      <c r="J6" s="5"/>
      <c r="K6" s="5">
        <f t="shared" si="4"/>
        <v>138174.28571428571</v>
      </c>
      <c r="L6" s="7">
        <f t="shared" si="1"/>
        <v>138174.28571428571</v>
      </c>
      <c r="M6" s="14">
        <f t="shared" ref="M6" si="5">L6/$K$1</f>
        <v>9318.8496462886706</v>
      </c>
      <c r="N6" s="3">
        <f t="shared" ref="N6" si="6">E6-L6</f>
        <v>-138174.28571428571</v>
      </c>
      <c r="O6" s="2"/>
      <c r="P6" s="15"/>
    </row>
    <row r="7" spans="1:16" ht="17.25" hidden="1" customHeight="1" x14ac:dyDescent="0.35">
      <c r="A7" s="1" t="s">
        <v>49</v>
      </c>
      <c r="B7" s="1"/>
      <c r="C7" s="22">
        <v>116</v>
      </c>
      <c r="D7" s="1" t="s">
        <v>50</v>
      </c>
      <c r="E7" s="5"/>
      <c r="F7" s="16"/>
      <c r="G7" s="16"/>
      <c r="H7" s="24">
        <v>0</v>
      </c>
      <c r="I7" s="9">
        <f t="shared" si="0"/>
        <v>64.428571428571431</v>
      </c>
      <c r="J7" s="5"/>
      <c r="K7" s="5">
        <f t="shared" si="4"/>
        <v>0</v>
      </c>
      <c r="L7" s="7">
        <f t="shared" si="1"/>
        <v>0</v>
      </c>
      <c r="M7" s="14">
        <f t="shared" si="2"/>
        <v>0</v>
      </c>
      <c r="N7" s="3">
        <f t="shared" si="3"/>
        <v>0</v>
      </c>
      <c r="O7" s="2"/>
    </row>
    <row r="8" spans="1:16" ht="17.25" customHeight="1" x14ac:dyDescent="0.35">
      <c r="A8" s="42" t="s">
        <v>79</v>
      </c>
      <c r="B8" s="1"/>
      <c r="C8" s="22">
        <v>105</v>
      </c>
      <c r="D8" s="1" t="s">
        <v>102</v>
      </c>
      <c r="E8" s="5"/>
      <c r="F8" s="16"/>
      <c r="G8" s="16"/>
      <c r="H8" s="24">
        <v>40</v>
      </c>
      <c r="I8" s="9">
        <f t="shared" si="0"/>
        <v>64.428571428571431</v>
      </c>
      <c r="J8" s="5"/>
      <c r="K8" s="5">
        <f t="shared" si="4"/>
        <v>270600</v>
      </c>
      <c r="L8" s="7">
        <f t="shared" si="1"/>
        <v>270600</v>
      </c>
      <c r="M8" s="14">
        <f t="shared" ref="M8" si="7">L8/$K$1</f>
        <v>18250</v>
      </c>
      <c r="N8" s="3">
        <f t="shared" ref="N8" si="8">E8-L8</f>
        <v>-270600</v>
      </c>
      <c r="O8" s="2"/>
    </row>
    <row r="9" spans="1:16" ht="17.25" customHeight="1" x14ac:dyDescent="0.35">
      <c r="A9" s="1" t="s">
        <v>5</v>
      </c>
      <c r="B9" s="1"/>
      <c r="C9" s="22">
        <v>88</v>
      </c>
      <c r="D9" s="1" t="s">
        <v>1</v>
      </c>
      <c r="E9" s="5"/>
      <c r="F9" s="16"/>
      <c r="G9" s="16"/>
      <c r="H9" s="24">
        <v>8</v>
      </c>
      <c r="I9" s="9">
        <f t="shared" si="0"/>
        <v>64.428571428571431</v>
      </c>
      <c r="J9" s="5"/>
      <c r="K9" s="5">
        <f t="shared" si="4"/>
        <v>45357.71428571429</v>
      </c>
      <c r="L9" s="7">
        <f t="shared" si="1"/>
        <v>45357.71428571429</v>
      </c>
      <c r="M9" s="14">
        <f t="shared" si="2"/>
        <v>3059.0476190476193</v>
      </c>
      <c r="N9" s="3">
        <f t="shared" si="3"/>
        <v>-45357.71428571429</v>
      </c>
      <c r="O9" s="2"/>
    </row>
    <row r="10" spans="1:16" ht="17.25" hidden="1" customHeight="1" x14ac:dyDescent="0.35">
      <c r="A10" s="1" t="s">
        <v>6</v>
      </c>
      <c r="B10" s="1"/>
      <c r="C10" s="22">
        <v>200</v>
      </c>
      <c r="D10" s="1" t="s">
        <v>2</v>
      </c>
      <c r="E10" s="5"/>
      <c r="F10" s="16"/>
      <c r="G10" s="16"/>
      <c r="H10" s="24">
        <v>0</v>
      </c>
      <c r="I10" s="9">
        <f t="shared" si="0"/>
        <v>64.428571428571431</v>
      </c>
      <c r="J10" s="5"/>
      <c r="K10" s="5">
        <f t="shared" si="4"/>
        <v>0</v>
      </c>
      <c r="L10" s="7">
        <f t="shared" si="1"/>
        <v>0</v>
      </c>
      <c r="M10" s="14">
        <f t="shared" si="2"/>
        <v>0</v>
      </c>
      <c r="N10" s="3">
        <f t="shared" si="3"/>
        <v>0</v>
      </c>
      <c r="O10" s="2"/>
    </row>
    <row r="11" spans="1:16" ht="17.25" customHeight="1" x14ac:dyDescent="0.35">
      <c r="A11" s="42" t="s">
        <v>7</v>
      </c>
      <c r="B11" s="1"/>
      <c r="C11" s="22">
        <v>137</v>
      </c>
      <c r="D11" s="1" t="s">
        <v>25</v>
      </c>
      <c r="E11" s="5"/>
      <c r="F11" s="16">
        <v>46321</v>
      </c>
      <c r="G11" s="16"/>
      <c r="H11" s="24">
        <v>40</v>
      </c>
      <c r="I11" s="9">
        <f t="shared" si="0"/>
        <v>50.428571428571431</v>
      </c>
      <c r="J11" s="5"/>
      <c r="K11" s="5">
        <f t="shared" si="4"/>
        <v>276348.57142857142</v>
      </c>
      <c r="L11" s="7">
        <f t="shared" si="1"/>
        <v>276348.57142857142</v>
      </c>
      <c r="M11" s="14">
        <f t="shared" si="2"/>
        <v>18637.699292577341</v>
      </c>
      <c r="N11" s="3">
        <f t="shared" si="3"/>
        <v>-276348.57142857142</v>
      </c>
      <c r="O11" s="20"/>
    </row>
    <row r="12" spans="1:16" ht="17.25" customHeight="1" x14ac:dyDescent="0.35">
      <c r="A12" s="1" t="s">
        <v>8</v>
      </c>
      <c r="B12" s="1"/>
      <c r="C12" s="22">
        <v>116</v>
      </c>
      <c r="D12" s="1" t="s">
        <v>3</v>
      </c>
      <c r="E12" s="5"/>
      <c r="F12" s="16"/>
      <c r="G12" s="16"/>
      <c r="H12" s="24">
        <v>0</v>
      </c>
      <c r="I12" s="9">
        <f t="shared" si="0"/>
        <v>64.428571428571431</v>
      </c>
      <c r="J12" s="5"/>
      <c r="K12" s="5">
        <f t="shared" si="4"/>
        <v>0</v>
      </c>
      <c r="L12" s="7">
        <f t="shared" si="1"/>
        <v>0</v>
      </c>
      <c r="M12" s="14">
        <f t="shared" si="2"/>
        <v>0</v>
      </c>
      <c r="N12" s="3">
        <f t="shared" si="3"/>
        <v>0</v>
      </c>
      <c r="O12" s="2"/>
    </row>
    <row r="13" spans="1:16" ht="18" customHeight="1" x14ac:dyDescent="0.35">
      <c r="A13" s="1" t="s">
        <v>81</v>
      </c>
      <c r="B13" s="1"/>
      <c r="C13" s="22">
        <v>95</v>
      </c>
      <c r="D13" s="1" t="s">
        <v>37</v>
      </c>
      <c r="E13" s="5"/>
      <c r="F13" s="16"/>
      <c r="G13" s="16"/>
      <c r="H13" s="24">
        <v>4</v>
      </c>
      <c r="I13" s="9">
        <f t="shared" si="0"/>
        <v>64.428571428571431</v>
      </c>
      <c r="J13" s="5"/>
      <c r="K13" s="5">
        <f t="shared" si="4"/>
        <v>24482.857142857145</v>
      </c>
      <c r="L13" s="7">
        <f t="shared" si="1"/>
        <v>24482.857142857145</v>
      </c>
      <c r="M13" s="14">
        <f t="shared" si="2"/>
        <v>1651.1904761904764</v>
      </c>
      <c r="N13" s="3">
        <f t="shared" si="3"/>
        <v>-24482.857142857145</v>
      </c>
      <c r="O13" s="20"/>
    </row>
    <row r="14" spans="1:16" ht="17.25" customHeight="1" x14ac:dyDescent="0.35">
      <c r="A14" s="1" t="s">
        <v>36</v>
      </c>
      <c r="B14" s="1"/>
      <c r="C14" s="22">
        <v>95</v>
      </c>
      <c r="D14" s="1" t="s">
        <v>74</v>
      </c>
      <c r="E14" s="5"/>
      <c r="F14" s="5"/>
      <c r="G14" s="16"/>
      <c r="H14" s="24">
        <v>4</v>
      </c>
      <c r="I14" s="9">
        <f t="shared" si="0"/>
        <v>64.428571428571431</v>
      </c>
      <c r="J14" s="5"/>
      <c r="K14" s="5">
        <f t="shared" si="4"/>
        <v>24482.857142857145</v>
      </c>
      <c r="L14" s="7">
        <f t="shared" si="1"/>
        <v>24482.857142857145</v>
      </c>
      <c r="M14" s="14">
        <f t="shared" si="2"/>
        <v>1651.1904761904764</v>
      </c>
      <c r="N14" s="3">
        <f t="shared" si="3"/>
        <v>-24482.857142857145</v>
      </c>
      <c r="O14" s="2" t="s">
        <v>104</v>
      </c>
    </row>
    <row r="15" spans="1:16" ht="17.25" customHeight="1" x14ac:dyDescent="0.35">
      <c r="A15" s="1" t="s">
        <v>107</v>
      </c>
      <c r="B15" s="1"/>
      <c r="C15" s="22">
        <v>95</v>
      </c>
      <c r="D15" s="1" t="s">
        <v>108</v>
      </c>
      <c r="E15" s="5"/>
      <c r="F15" s="16">
        <v>46321</v>
      </c>
      <c r="G15" s="16"/>
      <c r="H15" s="24">
        <v>8</v>
      </c>
      <c r="I15" s="9">
        <f t="shared" si="0"/>
        <v>50.428571428571431</v>
      </c>
      <c r="J15" s="5"/>
      <c r="K15" s="5">
        <f t="shared" si="4"/>
        <v>38325.71428571429</v>
      </c>
      <c r="L15" s="7">
        <f t="shared" si="1"/>
        <v>38325.71428571429</v>
      </c>
      <c r="M15" s="14">
        <f t="shared" si="2"/>
        <v>2584.7904128391938</v>
      </c>
      <c r="N15" s="3">
        <f t="shared" si="3"/>
        <v>-38325.71428571429</v>
      </c>
      <c r="O15" s="2"/>
    </row>
    <row r="16" spans="1:16" ht="17.25" customHeight="1" x14ac:dyDescent="0.35">
      <c r="A16" s="1" t="s">
        <v>111</v>
      </c>
      <c r="B16" s="1"/>
      <c r="C16" s="22">
        <v>75</v>
      </c>
      <c r="D16" s="1" t="s">
        <v>122</v>
      </c>
      <c r="E16" s="5"/>
      <c r="F16" s="5"/>
      <c r="G16" s="16"/>
      <c r="H16" s="24">
        <v>4</v>
      </c>
      <c r="I16" s="9">
        <f t="shared" si="0"/>
        <v>64.428571428571431</v>
      </c>
      <c r="J16" s="5"/>
      <c r="K16" s="5">
        <f t="shared" si="4"/>
        <v>19328.571428571428</v>
      </c>
      <c r="L16" s="7">
        <f t="shared" si="1"/>
        <v>19328.571428571428</v>
      </c>
      <c r="M16" s="14">
        <f t="shared" si="2"/>
        <v>1303.5714285714284</v>
      </c>
      <c r="N16" s="3">
        <f t="shared" si="3"/>
        <v>-19328.571428571428</v>
      </c>
      <c r="O16" s="2"/>
    </row>
    <row r="17" spans="1:23" ht="17.25" customHeight="1" x14ac:dyDescent="0.35">
      <c r="A17" s="42" t="s">
        <v>59</v>
      </c>
      <c r="B17" s="1"/>
      <c r="C17" s="22">
        <v>189</v>
      </c>
      <c r="D17" s="1" t="s">
        <v>35</v>
      </c>
      <c r="E17" s="5"/>
      <c r="F17" s="16">
        <v>46321</v>
      </c>
      <c r="G17" s="16"/>
      <c r="H17" s="24">
        <v>4</v>
      </c>
      <c r="I17" s="9">
        <f t="shared" si="0"/>
        <v>50.428571428571431</v>
      </c>
      <c r="J17" s="5"/>
      <c r="K17" s="5">
        <f>(C17*H17*I17)</f>
        <v>38124</v>
      </c>
      <c r="L17" s="7">
        <f>K17+J17</f>
        <v>38124</v>
      </c>
      <c r="M17" s="14">
        <f t="shared" si="2"/>
        <v>2571.1862527716185</v>
      </c>
      <c r="N17" s="3">
        <f t="shared" si="3"/>
        <v>-38124</v>
      </c>
      <c r="O17" s="2"/>
    </row>
    <row r="18" spans="1:23" ht="17.25" customHeight="1" x14ac:dyDescent="0.35">
      <c r="A18" s="1" t="s">
        <v>26</v>
      </c>
      <c r="B18" s="1"/>
      <c r="C18" s="22">
        <v>12.5</v>
      </c>
      <c r="D18" s="1" t="s">
        <v>27</v>
      </c>
      <c r="E18" s="5"/>
      <c r="F18" s="5"/>
      <c r="G18" s="5"/>
      <c r="H18" s="40">
        <f>H4*I4+(I5*H5)+(I7*H7)+(I10*H10)+(I11*H11)+(I12*H12)+(I13*H13)+(I14*H14)+(I17*H17)+(I8+H8)+(H6*I6)</f>
        <v>4105.0000000000009</v>
      </c>
      <c r="I18" s="9"/>
      <c r="J18" s="5"/>
      <c r="K18" s="5">
        <f>(C18*H18)</f>
        <v>51312.500000000015</v>
      </c>
      <c r="L18" s="7">
        <f t="shared" si="1"/>
        <v>51312.500000000015</v>
      </c>
      <c r="M18" s="7"/>
      <c r="N18" s="3">
        <f t="shared" si="3"/>
        <v>-51312.500000000015</v>
      </c>
      <c r="O18" s="2"/>
    </row>
    <row r="19" spans="1:23" ht="17.25" hidden="1" customHeight="1" x14ac:dyDescent="0.35">
      <c r="A19" s="1" t="s">
        <v>112</v>
      </c>
      <c r="B19" s="1"/>
      <c r="C19" s="22">
        <v>131</v>
      </c>
      <c r="D19" s="1" t="s">
        <v>110</v>
      </c>
      <c r="E19" s="5"/>
      <c r="F19" s="16"/>
      <c r="G19" s="5"/>
      <c r="H19" s="24">
        <v>0</v>
      </c>
      <c r="I19" s="9">
        <f t="shared" si="0"/>
        <v>64.428571428571431</v>
      </c>
      <c r="J19" s="5"/>
      <c r="K19" s="5">
        <f t="shared" si="4"/>
        <v>0</v>
      </c>
      <c r="L19" s="7">
        <f t="shared" si="1"/>
        <v>0</v>
      </c>
      <c r="M19" s="14">
        <f>L19/$K$1</f>
        <v>0</v>
      </c>
      <c r="N19" s="3">
        <f t="shared" si="3"/>
        <v>0</v>
      </c>
      <c r="O19" s="2"/>
    </row>
    <row r="20" spans="1:23" ht="17.25" hidden="1" customHeight="1" x14ac:dyDescent="0.35">
      <c r="A20" s="1" t="s">
        <v>124</v>
      </c>
      <c r="B20" s="1"/>
      <c r="C20" s="22">
        <v>115</v>
      </c>
      <c r="D20" s="1" t="s">
        <v>126</v>
      </c>
      <c r="E20" s="5"/>
      <c r="F20" s="16"/>
      <c r="G20" s="5"/>
      <c r="H20" s="24">
        <v>0</v>
      </c>
      <c r="I20" s="9">
        <f t="shared" si="0"/>
        <v>64.428571428571431</v>
      </c>
      <c r="J20" s="5"/>
      <c r="K20" s="5">
        <f t="shared" si="4"/>
        <v>0</v>
      </c>
      <c r="L20" s="7">
        <f t="shared" si="1"/>
        <v>0</v>
      </c>
      <c r="M20" s="14">
        <f>L20/$K$1</f>
        <v>0</v>
      </c>
      <c r="N20" s="3">
        <f t="shared" ref="N20" si="9">E20-L20</f>
        <v>0</v>
      </c>
      <c r="O20" s="2"/>
    </row>
    <row r="21" spans="1:23" ht="17.25" customHeight="1" x14ac:dyDescent="0.35">
      <c r="A21" s="1" t="s">
        <v>14</v>
      </c>
      <c r="B21" s="1"/>
      <c r="C21" s="1">
        <v>50</v>
      </c>
      <c r="D21" s="1" t="s">
        <v>51</v>
      </c>
      <c r="E21" s="5"/>
      <c r="F21" s="5"/>
      <c r="G21" s="5"/>
      <c r="H21" s="5"/>
      <c r="I21" s="9">
        <f t="shared" ref="I21" si="10">$I$11</f>
        <v>50.428571428571431</v>
      </c>
      <c r="J21" s="5"/>
      <c r="K21" s="5">
        <f>C21*I21</f>
        <v>2521.4285714285716</v>
      </c>
      <c r="L21" s="7">
        <f>K21+J21</f>
        <v>2521.4285714285716</v>
      </c>
      <c r="M21" s="7"/>
      <c r="N21" s="3">
        <f t="shared" si="3"/>
        <v>-2521.4285714285716</v>
      </c>
      <c r="O21" s="2"/>
      <c r="P21" s="41"/>
    </row>
    <row r="22" spans="1:23" ht="17.25" customHeight="1" x14ac:dyDescent="0.35">
      <c r="A22" s="1" t="s">
        <v>28</v>
      </c>
      <c r="B22" s="1"/>
      <c r="C22" s="1">
        <v>500</v>
      </c>
      <c r="D22" s="1" t="s">
        <v>29</v>
      </c>
      <c r="E22" s="5"/>
      <c r="F22" s="5"/>
      <c r="G22" s="5"/>
      <c r="H22" s="5"/>
      <c r="I22" s="9">
        <f>$I$11/4.333</f>
        <v>11.638257887969404</v>
      </c>
      <c r="J22" s="5"/>
      <c r="K22" s="5">
        <f>C22*I22</f>
        <v>5819.1289439847023</v>
      </c>
      <c r="L22" s="7">
        <f t="shared" si="1"/>
        <v>5819.1289439847023</v>
      </c>
      <c r="M22" s="7"/>
      <c r="N22" s="3">
        <f t="shared" si="3"/>
        <v>-5819.1289439847023</v>
      </c>
      <c r="O22" s="2" t="s">
        <v>120</v>
      </c>
      <c r="P22" s="41"/>
    </row>
    <row r="23" spans="1:23" ht="17.25" customHeight="1" x14ac:dyDescent="0.35">
      <c r="A23" s="1" t="s">
        <v>113</v>
      </c>
      <c r="B23" s="1"/>
      <c r="C23" s="1">
        <v>1375</v>
      </c>
      <c r="D23" s="1" t="s">
        <v>105</v>
      </c>
      <c r="E23" s="5"/>
      <c r="F23" s="5"/>
      <c r="G23" s="5"/>
      <c r="H23" s="5"/>
      <c r="I23" s="9">
        <f>$I$11</f>
        <v>50.428571428571431</v>
      </c>
      <c r="J23" s="5"/>
      <c r="K23" s="5">
        <f>I23*C23</f>
        <v>69339.28571428571</v>
      </c>
      <c r="L23" s="7">
        <f t="shared" si="1"/>
        <v>69339.28571428571</v>
      </c>
      <c r="M23" s="7"/>
      <c r="N23" s="3">
        <f t="shared" si="3"/>
        <v>-69339.28571428571</v>
      </c>
      <c r="O23" s="2" t="s">
        <v>123</v>
      </c>
      <c r="P23" s="41"/>
    </row>
    <row r="24" spans="1:23" ht="17.25" customHeight="1" x14ac:dyDescent="0.35">
      <c r="A24" s="1" t="s">
        <v>114</v>
      </c>
      <c r="B24" s="1"/>
      <c r="C24" s="1">
        <v>500</v>
      </c>
      <c r="D24" s="1" t="s">
        <v>106</v>
      </c>
      <c r="E24" s="5"/>
      <c r="F24" s="5"/>
      <c r="G24" s="5"/>
      <c r="H24" s="5"/>
      <c r="I24" s="9">
        <f>I11</f>
        <v>50.428571428571431</v>
      </c>
      <c r="J24" s="5"/>
      <c r="K24" s="5">
        <f t="shared" ref="K24:K39" si="11">I24*C24</f>
        <v>25214.285714285714</v>
      </c>
      <c r="L24" s="7">
        <f t="shared" si="1"/>
        <v>25214.285714285714</v>
      </c>
      <c r="M24" s="7"/>
      <c r="N24" s="3">
        <f t="shared" si="3"/>
        <v>-25214.285714285714</v>
      </c>
      <c r="O24" s="2"/>
      <c r="P24" s="41"/>
      <c r="W24" s="41"/>
    </row>
    <row r="25" spans="1:23" ht="17.25" customHeight="1" x14ac:dyDescent="0.35">
      <c r="A25" s="1" t="s">
        <v>30</v>
      </c>
      <c r="B25" s="1"/>
      <c r="C25" s="1">
        <v>2.0000000000000001E-4</v>
      </c>
      <c r="D25" s="1" t="s">
        <v>31</v>
      </c>
      <c r="E25" s="5"/>
      <c r="F25" s="5"/>
      <c r="G25" s="5"/>
      <c r="H25" s="5"/>
      <c r="I25" s="9"/>
      <c r="J25" s="5"/>
      <c r="K25" s="5">
        <f>C25*J43</f>
        <v>2400</v>
      </c>
      <c r="L25" s="7">
        <f t="shared" si="1"/>
        <v>2400</v>
      </c>
      <c r="M25" s="7"/>
      <c r="N25" s="3">
        <f t="shared" si="3"/>
        <v>-2400</v>
      </c>
      <c r="O25" s="2"/>
      <c r="P25" s="41"/>
      <c r="W25" s="41"/>
    </row>
    <row r="26" spans="1:23" ht="17.25" customHeight="1" x14ac:dyDescent="0.35">
      <c r="A26" s="1" t="s">
        <v>56</v>
      </c>
      <c r="B26" s="1"/>
      <c r="C26" s="1">
        <v>600</v>
      </c>
      <c r="D26" s="1" t="s">
        <v>57</v>
      </c>
      <c r="E26" s="5"/>
      <c r="F26" s="5"/>
      <c r="G26" s="5"/>
      <c r="H26" s="5"/>
      <c r="I26" s="9">
        <f>$I$11/4.333</f>
        <v>11.638257887969404</v>
      </c>
      <c r="J26" s="5"/>
      <c r="K26" s="5">
        <f t="shared" si="11"/>
        <v>6982.9547327816426</v>
      </c>
      <c r="L26" s="7">
        <f t="shared" si="1"/>
        <v>6982.9547327816426</v>
      </c>
      <c r="M26" s="7"/>
      <c r="N26" s="3">
        <f t="shared" si="3"/>
        <v>-6982.9547327816426</v>
      </c>
      <c r="O26" s="2"/>
      <c r="P26" s="41"/>
    </row>
    <row r="27" spans="1:23" ht="17.25" customHeight="1" x14ac:dyDescent="0.35">
      <c r="A27" s="1" t="s">
        <v>16</v>
      </c>
      <c r="B27" s="1"/>
      <c r="C27" s="1">
        <v>100</v>
      </c>
      <c r="D27" s="1" t="s">
        <v>20</v>
      </c>
      <c r="E27" s="5"/>
      <c r="F27" s="5"/>
      <c r="G27" s="5"/>
      <c r="H27" s="5"/>
      <c r="I27" s="9">
        <f t="shared" ref="I27:I31" si="12">$I$11</f>
        <v>50.428571428571431</v>
      </c>
      <c r="J27" s="5"/>
      <c r="K27" s="5">
        <f t="shared" si="11"/>
        <v>5042.8571428571431</v>
      </c>
      <c r="L27" s="7">
        <f t="shared" si="1"/>
        <v>5042.8571428571431</v>
      </c>
      <c r="M27" s="7"/>
      <c r="N27" s="3">
        <f t="shared" si="3"/>
        <v>-5042.8571428571431</v>
      </c>
      <c r="O27" s="2"/>
      <c r="P27" s="41"/>
    </row>
    <row r="28" spans="1:23" ht="17.25" customHeight="1" x14ac:dyDescent="0.35">
      <c r="A28" s="1" t="s">
        <v>67</v>
      </c>
      <c r="B28" s="1"/>
      <c r="C28" s="1">
        <v>1000</v>
      </c>
      <c r="D28" s="1" t="s">
        <v>19</v>
      </c>
      <c r="E28" s="5"/>
      <c r="F28" s="5"/>
      <c r="G28" s="5"/>
      <c r="H28" s="5"/>
      <c r="I28" s="9">
        <v>2</v>
      </c>
      <c r="J28" s="5"/>
      <c r="K28" s="5">
        <f t="shared" si="11"/>
        <v>2000</v>
      </c>
      <c r="L28" s="7">
        <f t="shared" si="1"/>
        <v>2000</v>
      </c>
      <c r="M28" s="7"/>
      <c r="N28" s="3">
        <f t="shared" si="3"/>
        <v>-2000</v>
      </c>
      <c r="O28" s="2"/>
      <c r="P28" s="41"/>
    </row>
    <row r="29" spans="1:23" ht="17.25" customHeight="1" x14ac:dyDescent="0.35">
      <c r="A29" s="1" t="s">
        <v>52</v>
      </c>
      <c r="B29" s="1"/>
      <c r="C29" s="1">
        <v>550</v>
      </c>
      <c r="D29" s="1" t="s">
        <v>69</v>
      </c>
      <c r="E29" s="5"/>
      <c r="F29" s="5"/>
      <c r="G29" s="5"/>
      <c r="H29" s="5"/>
      <c r="I29" s="9">
        <f>$I$11/4.333</f>
        <v>11.638257887969404</v>
      </c>
      <c r="J29" s="5"/>
      <c r="K29" s="5">
        <f t="shared" si="11"/>
        <v>6401.041838383172</v>
      </c>
      <c r="L29" s="7">
        <f t="shared" si="1"/>
        <v>6401.041838383172</v>
      </c>
      <c r="M29" s="7"/>
      <c r="N29" s="3">
        <f t="shared" si="3"/>
        <v>-6401.041838383172</v>
      </c>
      <c r="O29" s="2"/>
      <c r="P29" s="41"/>
    </row>
    <row r="30" spans="1:23" ht="17.25" customHeight="1" x14ac:dyDescent="0.35">
      <c r="A30" s="1" t="s">
        <v>115</v>
      </c>
      <c r="B30" s="1"/>
      <c r="C30" s="1">
        <v>100</v>
      </c>
      <c r="D30" s="1" t="s">
        <v>68</v>
      </c>
      <c r="E30" s="5"/>
      <c r="F30" s="5"/>
      <c r="G30" s="5"/>
      <c r="H30" s="5"/>
      <c r="I30" s="9">
        <f t="shared" si="12"/>
        <v>50.428571428571431</v>
      </c>
      <c r="J30" s="5"/>
      <c r="K30" s="5">
        <f t="shared" si="11"/>
        <v>5042.8571428571431</v>
      </c>
      <c r="L30" s="7">
        <f>K30+J30</f>
        <v>5042.8571428571431</v>
      </c>
      <c r="M30" s="7"/>
      <c r="N30" s="3">
        <f t="shared" si="3"/>
        <v>-5042.8571428571431</v>
      </c>
      <c r="O30" s="2"/>
      <c r="P30" s="41"/>
    </row>
    <row r="31" spans="1:23" ht="17.25" customHeight="1" x14ac:dyDescent="0.35">
      <c r="A31" s="1" t="s">
        <v>117</v>
      </c>
      <c r="B31" s="1"/>
      <c r="C31" s="1">
        <v>100</v>
      </c>
      <c r="D31" s="1" t="s">
        <v>118</v>
      </c>
      <c r="E31" s="5"/>
      <c r="F31" s="5"/>
      <c r="G31" s="5"/>
      <c r="H31" s="5"/>
      <c r="I31" s="9">
        <f t="shared" si="12"/>
        <v>50.428571428571431</v>
      </c>
      <c r="J31" s="5"/>
      <c r="K31" s="5">
        <f t="shared" si="11"/>
        <v>5042.8571428571431</v>
      </c>
      <c r="L31" s="7">
        <f t="shared" si="1"/>
        <v>5042.8571428571431</v>
      </c>
      <c r="M31" s="7"/>
      <c r="N31" s="3">
        <f t="shared" si="3"/>
        <v>-5042.8571428571431</v>
      </c>
      <c r="O31" s="2"/>
      <c r="P31" s="41"/>
    </row>
    <row r="32" spans="1:23" ht="17.25" customHeight="1" x14ac:dyDescent="0.35">
      <c r="A32" s="1" t="s">
        <v>121</v>
      </c>
      <c r="B32" s="1"/>
      <c r="C32" s="1">
        <v>1000</v>
      </c>
      <c r="D32" s="1" t="s">
        <v>119</v>
      </c>
      <c r="E32" s="5"/>
      <c r="F32" s="5"/>
      <c r="G32" s="5"/>
      <c r="H32" s="5"/>
      <c r="I32" s="5">
        <v>1</v>
      </c>
      <c r="J32" s="5"/>
      <c r="K32" s="5">
        <f t="shared" si="11"/>
        <v>1000</v>
      </c>
      <c r="L32" s="7">
        <f t="shared" si="1"/>
        <v>1000</v>
      </c>
      <c r="M32" s="7"/>
      <c r="N32" s="3">
        <f t="shared" si="3"/>
        <v>-1000</v>
      </c>
      <c r="O32" s="2"/>
      <c r="P32" s="41"/>
    </row>
    <row r="33" spans="1:16" ht="17.25" customHeight="1" x14ac:dyDescent="0.35">
      <c r="A33" s="1" t="s">
        <v>32</v>
      </c>
      <c r="B33" s="1"/>
      <c r="C33" s="22">
        <v>1</v>
      </c>
      <c r="D33" s="1" t="s">
        <v>33</v>
      </c>
      <c r="E33" s="5"/>
      <c r="F33" s="5"/>
      <c r="G33" s="5"/>
      <c r="H33" s="40">
        <f>(H4*I4)+(I5*H5)+(I7*H7)+(I9*H9)+(I10*H10)+(I11*H11)+(I12*H12)+(I13*H13)+(I14*H14)+(I15*H15)+(I16*H16)+(I17*H17)+(I19*H19)+(I8+H8)+(H6*I6)</f>
        <v>5281.5714285714294</v>
      </c>
      <c r="I33" s="9"/>
      <c r="J33" s="5"/>
      <c r="K33" s="5">
        <f>C33*H33</f>
        <v>5281.5714285714294</v>
      </c>
      <c r="L33" s="7">
        <f t="shared" si="1"/>
        <v>5281.5714285714294</v>
      </c>
      <c r="M33" s="7"/>
      <c r="N33" s="3">
        <f t="shared" si="3"/>
        <v>-5281.5714285714294</v>
      </c>
      <c r="O33" s="2"/>
      <c r="P33" s="41"/>
    </row>
    <row r="34" spans="1:16" ht="17.25" customHeight="1" x14ac:dyDescent="0.35">
      <c r="A34" s="1" t="s">
        <v>39</v>
      </c>
      <c r="B34" s="1"/>
      <c r="C34" s="1">
        <v>40</v>
      </c>
      <c r="D34" s="1" t="s">
        <v>40</v>
      </c>
      <c r="E34" s="5"/>
      <c r="F34" s="5"/>
      <c r="G34" s="5"/>
      <c r="H34" s="5"/>
      <c r="I34" s="9">
        <f>$I$11</f>
        <v>50.428571428571431</v>
      </c>
      <c r="J34" s="5"/>
      <c r="K34" s="5">
        <f t="shared" si="11"/>
        <v>2017.1428571428573</v>
      </c>
      <c r="L34" s="7">
        <f t="shared" si="1"/>
        <v>2017.1428571428573</v>
      </c>
      <c r="M34" s="7"/>
      <c r="N34" s="3">
        <f t="shared" si="3"/>
        <v>-2017.1428571428573</v>
      </c>
      <c r="O34" s="2"/>
      <c r="P34" s="41"/>
    </row>
    <row r="35" spans="1:16" ht="17.25" customHeight="1" x14ac:dyDescent="0.35">
      <c r="A35" s="1" t="s">
        <v>41</v>
      </c>
      <c r="B35" s="1"/>
      <c r="C35" s="1">
        <v>2.0000000000000001E-4</v>
      </c>
      <c r="D35" s="1" t="s">
        <v>38</v>
      </c>
      <c r="E35" s="5"/>
      <c r="F35" s="5"/>
      <c r="G35" s="5"/>
      <c r="H35" s="5"/>
      <c r="I35" s="5"/>
      <c r="J35" s="5"/>
      <c r="K35" s="5">
        <f>C35*$J$43</f>
        <v>2400</v>
      </c>
      <c r="L35" s="7">
        <f t="shared" si="1"/>
        <v>2400</v>
      </c>
      <c r="M35" s="7"/>
      <c r="N35" s="3">
        <f t="shared" si="3"/>
        <v>-2400</v>
      </c>
      <c r="O35" s="2"/>
      <c r="P35" s="41"/>
    </row>
    <row r="36" spans="1:16" ht="17.25" customHeight="1" x14ac:dyDescent="0.35">
      <c r="A36" s="1" t="s">
        <v>53</v>
      </c>
      <c r="B36" s="1"/>
      <c r="C36" s="1">
        <v>1.1000000000000001E-3</v>
      </c>
      <c r="D36" s="1" t="s">
        <v>73</v>
      </c>
      <c r="E36" s="5"/>
      <c r="F36" s="5"/>
      <c r="G36" s="5"/>
      <c r="H36" s="5"/>
      <c r="I36" s="5"/>
      <c r="J36" s="5"/>
      <c r="K36" s="5">
        <f>C36*$J$43</f>
        <v>13200</v>
      </c>
      <c r="L36" s="7">
        <f t="shared" si="1"/>
        <v>13200</v>
      </c>
      <c r="M36" s="7"/>
      <c r="N36" s="3">
        <f t="shared" si="3"/>
        <v>-13200</v>
      </c>
      <c r="O36" s="2"/>
      <c r="P36" s="41"/>
    </row>
    <row r="37" spans="1:16" ht="17.25" customHeight="1" x14ac:dyDescent="0.35">
      <c r="A37" s="1" t="s">
        <v>116</v>
      </c>
      <c r="B37" s="1"/>
      <c r="C37" s="1">
        <v>2.0000000000000001E-4</v>
      </c>
      <c r="D37" s="1" t="s">
        <v>128</v>
      </c>
      <c r="E37" s="5"/>
      <c r="F37" s="5"/>
      <c r="G37" s="5"/>
      <c r="H37" s="5"/>
      <c r="I37" s="5"/>
      <c r="J37" s="5"/>
      <c r="K37" s="5">
        <f>C37*$J$43</f>
        <v>2400</v>
      </c>
      <c r="L37" s="7">
        <f t="shared" si="1"/>
        <v>2400</v>
      </c>
      <c r="M37" s="7"/>
      <c r="N37" s="3">
        <f t="shared" si="3"/>
        <v>-2400</v>
      </c>
      <c r="O37" s="2"/>
      <c r="P37" s="41"/>
    </row>
    <row r="38" spans="1:16" ht="17.25" customHeight="1" x14ac:dyDescent="0.35">
      <c r="A38" s="1" t="s">
        <v>43</v>
      </c>
      <c r="B38" s="1"/>
      <c r="C38" s="1">
        <v>100</v>
      </c>
      <c r="D38" s="1" t="s">
        <v>44</v>
      </c>
      <c r="E38" s="5"/>
      <c r="F38" s="5"/>
      <c r="G38" s="5"/>
      <c r="H38" s="5"/>
      <c r="I38" s="9">
        <f t="shared" ref="I38:I39" si="13">$I$11</f>
        <v>50.428571428571431</v>
      </c>
      <c r="J38" s="5"/>
      <c r="K38" s="5">
        <f t="shared" si="11"/>
        <v>5042.8571428571431</v>
      </c>
      <c r="L38" s="7">
        <f t="shared" si="1"/>
        <v>5042.8571428571431</v>
      </c>
      <c r="M38" s="7"/>
      <c r="N38" s="3">
        <f t="shared" si="3"/>
        <v>-5042.8571428571431</v>
      </c>
      <c r="O38" s="2"/>
      <c r="P38" s="41"/>
    </row>
    <row r="39" spans="1:16" ht="17.25" customHeight="1" x14ac:dyDescent="0.35">
      <c r="A39" s="1" t="s">
        <v>45</v>
      </c>
      <c r="B39" s="1"/>
      <c r="C39" s="1">
        <v>300</v>
      </c>
      <c r="D39" s="1" t="s">
        <v>46</v>
      </c>
      <c r="E39" s="5"/>
      <c r="F39" s="16"/>
      <c r="G39" s="5"/>
      <c r="H39" s="5"/>
      <c r="I39" s="9">
        <f>$I$11/4.333</f>
        <v>11.638257887969404</v>
      </c>
      <c r="J39" s="5"/>
      <c r="K39" s="5">
        <f t="shared" si="11"/>
        <v>3491.4773663908213</v>
      </c>
      <c r="L39" s="7">
        <f t="shared" si="1"/>
        <v>3491.4773663908213</v>
      </c>
      <c r="M39" s="7"/>
      <c r="N39" s="3">
        <f t="shared" ref="N39" si="14">E39-L39</f>
        <v>-3491.4773663908213</v>
      </c>
      <c r="O39" s="2"/>
      <c r="P39" s="41"/>
    </row>
    <row r="40" spans="1:16" x14ac:dyDescent="0.35">
      <c r="A40" s="2"/>
      <c r="B40" s="2"/>
      <c r="C40" s="2"/>
      <c r="D40" s="2"/>
      <c r="E40" s="8">
        <f>SUM(E4:E39)</f>
        <v>0</v>
      </c>
      <c r="F40" s="8"/>
      <c r="G40" s="8"/>
      <c r="H40" s="8"/>
      <c r="I40" s="8"/>
      <c r="J40" s="8">
        <f>SUM(J4:J39)</f>
        <v>0</v>
      </c>
      <c r="K40" s="8">
        <f>SUM(K4:K39)</f>
        <v>1145884.8171672544</v>
      </c>
      <c r="L40" s="4">
        <f>SUM(L4:L39)</f>
        <v>1145884.8171672544</v>
      </c>
      <c r="M40" s="4"/>
      <c r="N40" s="3">
        <f>E40-L40</f>
        <v>-1145884.8171672544</v>
      </c>
      <c r="O40" s="2"/>
    </row>
    <row r="41" spans="1:1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6" x14ac:dyDescent="0.35">
      <c r="A43" s="2"/>
      <c r="B43" s="2"/>
      <c r="C43" s="2"/>
      <c r="D43" s="2"/>
      <c r="E43" s="2"/>
      <c r="F43" s="2"/>
      <c r="G43" s="2"/>
      <c r="H43" s="2"/>
      <c r="I43" s="2" t="s">
        <v>127</v>
      </c>
      <c r="J43" s="2">
        <v>12000000</v>
      </c>
      <c r="K43" s="2"/>
      <c r="L43" s="2"/>
      <c r="M43" s="2"/>
      <c r="N43" s="2"/>
      <c r="O43" s="2"/>
    </row>
    <row r="44" spans="1:1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</sheetData>
  <phoneticPr fontId="5" type="noConversion"/>
  <conditionalFormatting sqref="F4:F20">
    <cfRule type="cellIs" dxfId="4" priority="8" operator="lessThan">
      <formula>$O$1</formula>
    </cfRule>
  </conditionalFormatting>
  <conditionalFormatting sqref="G4:G20">
    <cfRule type="cellIs" dxfId="3" priority="7" operator="greaterThan">
      <formula>$O$2</formula>
    </cfRule>
  </conditionalFormatting>
  <conditionalFormatting sqref="I4:I31">
    <cfRule type="cellIs" dxfId="2" priority="3" operator="greaterThan">
      <formula>$K$2</formula>
    </cfRule>
  </conditionalFormatting>
  <conditionalFormatting sqref="I33:I36">
    <cfRule type="cellIs" dxfId="1" priority="2" operator="greaterThan">
      <formula>$K$2</formula>
    </cfRule>
  </conditionalFormatting>
  <conditionalFormatting sqref="I38:I39">
    <cfRule type="cellIs" dxfId="0" priority="1" operator="greaterThan">
      <formula>$K$2</formula>
    </cfRule>
  </conditionalFormatting>
  <printOptions gridLines="1"/>
  <pageMargins left="0.7" right="0.7" top="0.75" bottom="0.75" header="0.3" footer="0.3"/>
  <pageSetup scale="58" orientation="landscape" r:id="rId1"/>
  <headerFooter>
    <oddFooter>&amp;RDate Printed: &amp;D</oddFooter>
  </headerFooter>
  <ignoredErrors>
    <ignoredError sqref="K23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BAE6-F17B-404A-B35D-0A540FD24EA5}">
  <sheetPr>
    <pageSetUpPr fitToPage="1"/>
  </sheetPr>
  <dimension ref="A1:N111"/>
  <sheetViews>
    <sheetView view="pageLayout" topLeftCell="C1" zoomScale="90" zoomScaleNormal="100" zoomScalePageLayoutView="90" workbookViewId="0">
      <selection activeCell="D23" sqref="D23"/>
    </sheetView>
  </sheetViews>
  <sheetFormatPr defaultRowHeight="14.5" x14ac:dyDescent="0.35"/>
  <cols>
    <col min="1" max="1" width="15.453125" customWidth="1"/>
    <col min="2" max="2" width="9" bestFit="1" customWidth="1"/>
    <col min="3" max="3" width="7.7265625" customWidth="1"/>
    <col min="4" max="4" width="29.7265625" customWidth="1"/>
    <col min="5" max="5" width="10.7265625" customWidth="1"/>
    <col min="6" max="6" width="10.1796875" customWidth="1"/>
    <col min="7" max="7" width="12" bestFit="1" customWidth="1"/>
    <col min="8" max="8" width="10.1796875" hidden="1" customWidth="1"/>
    <col min="9" max="9" width="10.54296875" customWidth="1"/>
    <col min="10" max="10" width="10.81640625" hidden="1" customWidth="1"/>
    <col min="11" max="11" width="14.1796875" hidden="1" customWidth="1"/>
    <col min="12" max="12" width="16.7265625" hidden="1" customWidth="1"/>
    <col min="13" max="13" width="24.453125" customWidth="1"/>
    <col min="14" max="15" width="9.1796875" customWidth="1"/>
  </cols>
  <sheetData>
    <row r="1" spans="1:14" ht="20" x14ac:dyDescent="0.4">
      <c r="A1" s="10" t="s">
        <v>84</v>
      </c>
      <c r="B1" s="10"/>
      <c r="C1" s="12"/>
      <c r="D1" s="12"/>
      <c r="E1" s="12"/>
      <c r="F1" s="17"/>
      <c r="G1" s="17"/>
      <c r="H1" s="17"/>
      <c r="I1" s="18"/>
      <c r="J1" s="12"/>
      <c r="K1" s="2"/>
      <c r="L1" s="21"/>
      <c r="M1" s="35"/>
    </row>
    <row r="2" spans="1:14" ht="20" x14ac:dyDescent="0.4">
      <c r="A2" s="10"/>
      <c r="B2" s="10"/>
      <c r="C2" s="10" t="s">
        <v>97</v>
      </c>
      <c r="D2" s="12"/>
      <c r="E2" s="12"/>
      <c r="F2" s="17"/>
      <c r="G2" s="17"/>
      <c r="H2" s="17"/>
      <c r="I2" s="19"/>
      <c r="J2" s="12"/>
      <c r="K2" s="2"/>
      <c r="L2" s="21"/>
      <c r="M2" s="35"/>
    </row>
    <row r="3" spans="1:14" ht="41.15" customHeight="1" x14ac:dyDescent="0.35">
      <c r="A3" s="11" t="s">
        <v>10</v>
      </c>
      <c r="B3" s="13" t="s">
        <v>85</v>
      </c>
      <c r="C3" s="13" t="s">
        <v>22</v>
      </c>
      <c r="D3" s="11" t="s">
        <v>11</v>
      </c>
      <c r="E3" s="27" t="s">
        <v>96</v>
      </c>
      <c r="F3" s="6" t="s">
        <v>34</v>
      </c>
      <c r="G3" s="6" t="s">
        <v>77</v>
      </c>
      <c r="H3" s="6" t="s">
        <v>78</v>
      </c>
      <c r="I3" s="6" t="s">
        <v>95</v>
      </c>
      <c r="J3" s="6" t="s">
        <v>4</v>
      </c>
      <c r="K3" s="6" t="s">
        <v>24</v>
      </c>
      <c r="L3" s="6" t="s">
        <v>12</v>
      </c>
      <c r="M3" s="6" t="s">
        <v>23</v>
      </c>
    </row>
    <row r="4" spans="1:14" ht="17.25" customHeight="1" x14ac:dyDescent="0.35">
      <c r="A4" s="1" t="s">
        <v>58</v>
      </c>
      <c r="B4" s="1"/>
      <c r="C4" s="22">
        <v>138</v>
      </c>
      <c r="D4" s="1" t="s">
        <v>86</v>
      </c>
      <c r="E4" s="32">
        <v>0</v>
      </c>
      <c r="F4" s="31">
        <f>E4*40</f>
        <v>0</v>
      </c>
      <c r="G4" s="28">
        <v>4.33</v>
      </c>
      <c r="H4" s="5">
        <v>0</v>
      </c>
      <c r="I4" s="5">
        <f t="shared" ref="I4" si="0">(C4*F4*G4)</f>
        <v>0</v>
      </c>
      <c r="J4" s="7">
        <f>I4+H4</f>
        <v>0</v>
      </c>
      <c r="K4" s="14" t="e">
        <f t="shared" ref="K4:K17" si="1">J4/$I$1</f>
        <v>#DIV/0!</v>
      </c>
      <c r="L4" s="3" t="e">
        <f>#REF!-J4</f>
        <v>#REF!</v>
      </c>
      <c r="M4" s="2"/>
      <c r="N4" s="15"/>
    </row>
    <row r="5" spans="1:14" ht="17.25" customHeight="1" x14ac:dyDescent="0.35">
      <c r="A5" s="1" t="s">
        <v>87</v>
      </c>
      <c r="B5" s="1"/>
      <c r="C5" s="22">
        <v>115</v>
      </c>
      <c r="D5" s="1" t="s">
        <v>0</v>
      </c>
      <c r="E5" s="33">
        <v>0.5</v>
      </c>
      <c r="F5" s="31">
        <f t="shared" ref="F5:F20" si="2">E5*40</f>
        <v>20</v>
      </c>
      <c r="G5" s="28">
        <v>4.33</v>
      </c>
      <c r="H5" s="5">
        <v>0</v>
      </c>
      <c r="I5" s="5">
        <f t="shared" ref="I5:I22" si="3">(C5*F5*G5)</f>
        <v>9959</v>
      </c>
      <c r="J5" s="7">
        <f t="shared" ref="J5:J20" si="4">I5+H5</f>
        <v>9959</v>
      </c>
      <c r="K5" s="14" t="e">
        <f t="shared" si="1"/>
        <v>#DIV/0!</v>
      </c>
      <c r="L5" s="3" t="e">
        <f>#REF!-J5</f>
        <v>#REF!</v>
      </c>
      <c r="M5" s="2"/>
    </row>
    <row r="6" spans="1:14" ht="17.25" customHeight="1" x14ac:dyDescent="0.35">
      <c r="A6" s="1" t="s">
        <v>49</v>
      </c>
      <c r="B6" s="1"/>
      <c r="C6" s="22">
        <v>100</v>
      </c>
      <c r="D6" s="1" t="s">
        <v>50</v>
      </c>
      <c r="E6" s="33">
        <v>0</v>
      </c>
      <c r="F6" s="31">
        <f t="shared" si="2"/>
        <v>0</v>
      </c>
      <c r="G6" s="28">
        <v>4.33</v>
      </c>
      <c r="H6" s="5">
        <v>0</v>
      </c>
      <c r="I6" s="5">
        <f t="shared" si="3"/>
        <v>0</v>
      </c>
      <c r="J6" s="7">
        <f t="shared" si="4"/>
        <v>0</v>
      </c>
      <c r="K6" s="14" t="e">
        <f t="shared" si="1"/>
        <v>#DIV/0!</v>
      </c>
      <c r="L6" s="3" t="e">
        <f>#REF!-J6</f>
        <v>#REF!</v>
      </c>
      <c r="M6" s="2"/>
    </row>
    <row r="7" spans="1:14" ht="17.25" customHeight="1" x14ac:dyDescent="0.35">
      <c r="A7" s="1" t="s">
        <v>79</v>
      </c>
      <c r="B7" s="1"/>
      <c r="C7" s="22">
        <v>90</v>
      </c>
      <c r="D7" s="1" t="s">
        <v>102</v>
      </c>
      <c r="E7" s="33">
        <v>0</v>
      </c>
      <c r="F7" s="31">
        <f t="shared" si="2"/>
        <v>0</v>
      </c>
      <c r="G7" s="28">
        <v>4.33</v>
      </c>
      <c r="H7" s="5">
        <v>0</v>
      </c>
      <c r="I7" s="5">
        <f t="shared" si="3"/>
        <v>0</v>
      </c>
      <c r="J7" s="7">
        <f t="shared" si="4"/>
        <v>0</v>
      </c>
      <c r="K7" s="14" t="e">
        <f>J7/$I$1</f>
        <v>#DIV/0!</v>
      </c>
      <c r="L7" s="3" t="e">
        <f>#REF!-J7</f>
        <v>#REF!</v>
      </c>
      <c r="M7" s="2"/>
    </row>
    <row r="8" spans="1:14" ht="17.25" customHeight="1" x14ac:dyDescent="0.35">
      <c r="A8" s="1" t="s">
        <v>5</v>
      </c>
      <c r="B8" s="1"/>
      <c r="C8" s="22">
        <v>85</v>
      </c>
      <c r="D8" s="1" t="s">
        <v>1</v>
      </c>
      <c r="E8" s="37">
        <v>0.5</v>
      </c>
      <c r="F8" s="31">
        <f t="shared" si="2"/>
        <v>20</v>
      </c>
      <c r="G8" s="28">
        <v>4.33</v>
      </c>
      <c r="H8" s="5">
        <v>0</v>
      </c>
      <c r="I8" s="5">
        <f t="shared" si="3"/>
        <v>7361</v>
      </c>
      <c r="J8" s="7">
        <f t="shared" si="4"/>
        <v>7361</v>
      </c>
      <c r="K8" s="14" t="e">
        <f t="shared" si="1"/>
        <v>#DIV/0!</v>
      </c>
      <c r="L8" s="3" t="e">
        <f>#REF!-J8</f>
        <v>#REF!</v>
      </c>
      <c r="M8" s="2"/>
    </row>
    <row r="9" spans="1:14" ht="17.25" customHeight="1" x14ac:dyDescent="0.35">
      <c r="A9" s="1" t="s">
        <v>90</v>
      </c>
      <c r="B9" s="1"/>
      <c r="C9" s="22">
        <v>40</v>
      </c>
      <c r="D9" s="1" t="s">
        <v>91</v>
      </c>
      <c r="E9" s="33">
        <v>0</v>
      </c>
      <c r="F9" s="31">
        <f t="shared" si="2"/>
        <v>0</v>
      </c>
      <c r="G9" s="28">
        <v>4.33</v>
      </c>
      <c r="H9" s="5">
        <v>0</v>
      </c>
      <c r="I9" s="5">
        <f t="shared" si="3"/>
        <v>0</v>
      </c>
      <c r="J9" s="7">
        <f t="shared" si="4"/>
        <v>0</v>
      </c>
      <c r="K9" s="14" t="e">
        <f t="shared" si="1"/>
        <v>#DIV/0!</v>
      </c>
      <c r="L9" s="3" t="e">
        <f>#REF!-J9</f>
        <v>#REF!</v>
      </c>
      <c r="M9" s="2"/>
    </row>
    <row r="10" spans="1:14" ht="17.25" customHeight="1" x14ac:dyDescent="0.35">
      <c r="A10" s="1" t="s">
        <v>6</v>
      </c>
      <c r="B10" s="1"/>
      <c r="C10" s="22">
        <v>175</v>
      </c>
      <c r="D10" s="1" t="s">
        <v>2</v>
      </c>
      <c r="E10" s="37">
        <v>0.1</v>
      </c>
      <c r="F10" s="31">
        <f t="shared" si="2"/>
        <v>4</v>
      </c>
      <c r="G10" s="28">
        <v>4.33</v>
      </c>
      <c r="H10" s="5">
        <v>0</v>
      </c>
      <c r="I10" s="5">
        <f t="shared" si="3"/>
        <v>3031</v>
      </c>
      <c r="J10" s="7">
        <f t="shared" si="4"/>
        <v>3031</v>
      </c>
      <c r="K10" s="14" t="e">
        <f t="shared" si="1"/>
        <v>#DIV/0!</v>
      </c>
      <c r="L10" s="3" t="e">
        <f>#REF!-J10</f>
        <v>#REF!</v>
      </c>
      <c r="M10" s="2"/>
    </row>
    <row r="11" spans="1:14" ht="17.25" customHeight="1" x14ac:dyDescent="0.35">
      <c r="A11" s="1" t="s">
        <v>88</v>
      </c>
      <c r="B11" s="1"/>
      <c r="C11" s="22">
        <v>130</v>
      </c>
      <c r="D11" s="1" t="s">
        <v>89</v>
      </c>
      <c r="E11" s="33">
        <v>0</v>
      </c>
      <c r="F11" s="31">
        <f t="shared" si="2"/>
        <v>0</v>
      </c>
      <c r="G11" s="28">
        <v>4.33</v>
      </c>
      <c r="H11" s="5">
        <v>0</v>
      </c>
      <c r="I11" s="5">
        <f t="shared" si="3"/>
        <v>0</v>
      </c>
      <c r="J11" s="7">
        <f t="shared" si="4"/>
        <v>0</v>
      </c>
      <c r="K11" s="14" t="e">
        <f t="shared" si="1"/>
        <v>#DIV/0!</v>
      </c>
      <c r="L11" s="3" t="e">
        <f>#REF!-J11</f>
        <v>#REF!</v>
      </c>
      <c r="M11" s="20"/>
    </row>
    <row r="12" spans="1:14" ht="17.25" customHeight="1" x14ac:dyDescent="0.35">
      <c r="A12" s="1" t="s">
        <v>7</v>
      </c>
      <c r="B12" s="1"/>
      <c r="C12" s="22">
        <v>120</v>
      </c>
      <c r="D12" s="1" t="s">
        <v>25</v>
      </c>
      <c r="E12" s="33">
        <v>1</v>
      </c>
      <c r="F12" s="31">
        <f t="shared" si="2"/>
        <v>40</v>
      </c>
      <c r="G12" s="28">
        <v>4.33</v>
      </c>
      <c r="H12" s="5">
        <v>0</v>
      </c>
      <c r="I12" s="5">
        <f t="shared" si="3"/>
        <v>20784</v>
      </c>
      <c r="J12" s="7">
        <f t="shared" si="4"/>
        <v>20784</v>
      </c>
      <c r="K12" s="14" t="e">
        <f t="shared" si="1"/>
        <v>#DIV/0!</v>
      </c>
      <c r="L12" s="3" t="e">
        <f>#REF!-J12</f>
        <v>#REF!</v>
      </c>
      <c r="M12" s="20"/>
    </row>
    <row r="13" spans="1:14" ht="17.25" customHeight="1" x14ac:dyDescent="0.35">
      <c r="A13" s="1" t="s">
        <v>8</v>
      </c>
      <c r="B13" s="1"/>
      <c r="C13" s="22">
        <v>100</v>
      </c>
      <c r="D13" s="1" t="s">
        <v>3</v>
      </c>
      <c r="E13" s="33">
        <v>0</v>
      </c>
      <c r="F13" s="31">
        <f t="shared" si="2"/>
        <v>0</v>
      </c>
      <c r="G13" s="28">
        <v>4.33</v>
      </c>
      <c r="H13" s="5">
        <v>0</v>
      </c>
      <c r="I13" s="5">
        <f t="shared" si="3"/>
        <v>0</v>
      </c>
      <c r="J13" s="7">
        <f t="shared" si="4"/>
        <v>0</v>
      </c>
      <c r="K13" s="14" t="e">
        <f>J13/$I$1</f>
        <v>#DIV/0!</v>
      </c>
      <c r="L13" s="3" t="e">
        <f>#REF!-J13</f>
        <v>#REF!</v>
      </c>
      <c r="M13" s="2"/>
    </row>
    <row r="14" spans="1:14" ht="17.25" customHeight="1" x14ac:dyDescent="0.35">
      <c r="A14" s="1" t="s">
        <v>80</v>
      </c>
      <c r="B14" s="1"/>
      <c r="C14" s="22">
        <v>100</v>
      </c>
      <c r="D14" s="1" t="s">
        <v>3</v>
      </c>
      <c r="E14" s="33">
        <v>0</v>
      </c>
      <c r="F14" s="31">
        <f t="shared" si="2"/>
        <v>0</v>
      </c>
      <c r="G14" s="28">
        <v>4.33</v>
      </c>
      <c r="H14" s="5">
        <v>0</v>
      </c>
      <c r="I14" s="5">
        <f t="shared" si="3"/>
        <v>0</v>
      </c>
      <c r="J14" s="7">
        <f t="shared" si="4"/>
        <v>0</v>
      </c>
      <c r="K14" s="14" t="e">
        <f>J14/$I$1</f>
        <v>#DIV/0!</v>
      </c>
      <c r="L14" s="3" t="e">
        <f>#REF!-J14</f>
        <v>#REF!</v>
      </c>
      <c r="M14" s="20"/>
    </row>
    <row r="15" spans="1:14" ht="18" customHeight="1" x14ac:dyDescent="0.35">
      <c r="A15" s="1" t="s">
        <v>81</v>
      </c>
      <c r="B15" s="1"/>
      <c r="C15" s="22">
        <v>90</v>
      </c>
      <c r="D15" s="1" t="s">
        <v>102</v>
      </c>
      <c r="E15" s="33">
        <v>0</v>
      </c>
      <c r="F15" s="31">
        <f t="shared" si="2"/>
        <v>0</v>
      </c>
      <c r="G15" s="28">
        <v>4.33</v>
      </c>
      <c r="H15" s="5">
        <v>0</v>
      </c>
      <c r="I15" s="5">
        <f t="shared" si="3"/>
        <v>0</v>
      </c>
      <c r="J15" s="7">
        <f t="shared" si="4"/>
        <v>0</v>
      </c>
      <c r="K15" s="14" t="e">
        <f>J15/$I$1</f>
        <v>#DIV/0!</v>
      </c>
      <c r="L15" s="3" t="e">
        <f>#REF!-J15</f>
        <v>#REF!</v>
      </c>
      <c r="M15" s="20"/>
    </row>
    <row r="16" spans="1:14" ht="17.25" customHeight="1" x14ac:dyDescent="0.35">
      <c r="A16" s="1" t="s">
        <v>9</v>
      </c>
      <c r="B16" s="1"/>
      <c r="C16" s="22">
        <v>85</v>
      </c>
      <c r="D16" s="1" t="s">
        <v>37</v>
      </c>
      <c r="E16" s="38">
        <v>0.1</v>
      </c>
      <c r="F16" s="31">
        <f t="shared" si="2"/>
        <v>4</v>
      </c>
      <c r="G16" s="28">
        <v>4.33</v>
      </c>
      <c r="H16" s="5">
        <v>0</v>
      </c>
      <c r="I16" s="5">
        <f t="shared" si="3"/>
        <v>1472.2</v>
      </c>
      <c r="J16" s="7">
        <f t="shared" si="4"/>
        <v>1472.2</v>
      </c>
      <c r="K16" s="14" t="e">
        <f t="shared" si="1"/>
        <v>#DIV/0!</v>
      </c>
      <c r="L16" s="3" t="e">
        <f>#REF!-J16</f>
        <v>#REF!</v>
      </c>
      <c r="M16" s="2"/>
    </row>
    <row r="17" spans="1:13" ht="17.25" customHeight="1" x14ac:dyDescent="0.35">
      <c r="A17" s="1" t="s">
        <v>36</v>
      </c>
      <c r="B17" s="1"/>
      <c r="C17" s="22">
        <v>85</v>
      </c>
      <c r="D17" s="1" t="s">
        <v>74</v>
      </c>
      <c r="E17" s="38">
        <v>0.15</v>
      </c>
      <c r="F17" s="31">
        <f t="shared" si="2"/>
        <v>6</v>
      </c>
      <c r="G17" s="28">
        <v>4.33</v>
      </c>
      <c r="H17" s="25">
        <v>0</v>
      </c>
      <c r="I17" s="5">
        <f t="shared" si="3"/>
        <v>2208.3000000000002</v>
      </c>
      <c r="J17" s="7">
        <f t="shared" si="4"/>
        <v>2208.3000000000002</v>
      </c>
      <c r="K17" s="14" t="e">
        <f t="shared" si="1"/>
        <v>#DIV/0!</v>
      </c>
      <c r="L17" s="3" t="e">
        <f>#REF!-J17</f>
        <v>#REF!</v>
      </c>
      <c r="M17" s="2"/>
    </row>
    <row r="18" spans="1:13" ht="17.25" customHeight="1" x14ac:dyDescent="0.35">
      <c r="A18" s="1" t="s">
        <v>59</v>
      </c>
      <c r="B18" s="1"/>
      <c r="C18" s="22">
        <v>150</v>
      </c>
      <c r="D18" s="1" t="s">
        <v>35</v>
      </c>
      <c r="E18" s="39">
        <v>0.1</v>
      </c>
      <c r="F18" s="31">
        <f t="shared" si="2"/>
        <v>4</v>
      </c>
      <c r="G18" s="28">
        <v>4.33</v>
      </c>
      <c r="H18" s="5">
        <v>0</v>
      </c>
      <c r="I18" s="5">
        <f t="shared" si="3"/>
        <v>2598</v>
      </c>
      <c r="J18" s="7">
        <f t="shared" si="4"/>
        <v>2598</v>
      </c>
      <c r="K18" s="14" t="e">
        <f>J18/$I$1</f>
        <v>#DIV/0!</v>
      </c>
      <c r="L18" s="3" t="e">
        <f>#REF!-J18</f>
        <v>#REF!</v>
      </c>
      <c r="M18" s="2"/>
    </row>
    <row r="19" spans="1:13" ht="17.25" customHeight="1" x14ac:dyDescent="0.35">
      <c r="A19" s="1" t="s">
        <v>60</v>
      </c>
      <c r="B19" s="1"/>
      <c r="C19" s="22">
        <v>120</v>
      </c>
      <c r="D19" s="1" t="s">
        <v>62</v>
      </c>
      <c r="E19" s="33">
        <v>0</v>
      </c>
      <c r="F19" s="31">
        <f t="shared" si="2"/>
        <v>0</v>
      </c>
      <c r="G19" s="28">
        <v>4.33</v>
      </c>
      <c r="H19" s="5">
        <v>0</v>
      </c>
      <c r="I19" s="5">
        <f t="shared" si="3"/>
        <v>0</v>
      </c>
      <c r="J19" s="7">
        <f t="shared" si="4"/>
        <v>0</v>
      </c>
      <c r="K19" s="14" t="e">
        <f>J19/$I$1</f>
        <v>#DIV/0!</v>
      </c>
      <c r="L19" s="3" t="e">
        <f>#REF!-J19</f>
        <v>#REF!</v>
      </c>
      <c r="M19" s="2"/>
    </row>
    <row r="20" spans="1:13" ht="17.25" customHeight="1" x14ac:dyDescent="0.35">
      <c r="A20" s="1" t="s">
        <v>61</v>
      </c>
      <c r="B20" s="1"/>
      <c r="C20" s="22">
        <v>85</v>
      </c>
      <c r="D20" s="1" t="s">
        <v>63</v>
      </c>
      <c r="E20" s="34">
        <v>0</v>
      </c>
      <c r="F20" s="31">
        <f t="shared" si="2"/>
        <v>0</v>
      </c>
      <c r="G20" s="28">
        <v>4.33</v>
      </c>
      <c r="H20" s="5">
        <v>0</v>
      </c>
      <c r="I20" s="5">
        <f t="shared" si="3"/>
        <v>0</v>
      </c>
      <c r="J20" s="7">
        <f t="shared" si="4"/>
        <v>0</v>
      </c>
      <c r="K20" s="14" t="e">
        <f>J20/$I$1</f>
        <v>#DIV/0!</v>
      </c>
      <c r="L20" s="3" t="e">
        <f>#REF!-J20</f>
        <v>#REF!</v>
      </c>
      <c r="M20" s="2"/>
    </row>
    <row r="21" spans="1:13" ht="17.25" customHeight="1" x14ac:dyDescent="0.35">
      <c r="A21" s="1" t="s">
        <v>26</v>
      </c>
      <c r="B21" s="1"/>
      <c r="C21" s="1">
        <v>10</v>
      </c>
      <c r="D21" s="1" t="s">
        <v>27</v>
      </c>
      <c r="E21" s="26"/>
      <c r="F21" s="29">
        <f>SUM(F4:F20)</f>
        <v>98</v>
      </c>
      <c r="G21" s="28">
        <v>4.33</v>
      </c>
      <c r="H21" s="25">
        <v>0</v>
      </c>
      <c r="I21" s="5">
        <f t="shared" si="3"/>
        <v>4243.3999999999996</v>
      </c>
      <c r="J21" s="7">
        <f>I21+H21</f>
        <v>4243.3999999999996</v>
      </c>
      <c r="K21" s="7"/>
      <c r="L21" s="3" t="e">
        <f>#REF!-J21</f>
        <v>#REF!</v>
      </c>
      <c r="M21" s="2"/>
    </row>
    <row r="22" spans="1:13" ht="17.25" customHeight="1" x14ac:dyDescent="0.35">
      <c r="A22" s="1" t="s">
        <v>32</v>
      </c>
      <c r="B22" s="1"/>
      <c r="C22" s="1">
        <v>1</v>
      </c>
      <c r="D22" s="1" t="s">
        <v>33</v>
      </c>
      <c r="E22" s="26"/>
      <c r="F22" s="29">
        <f>SUM(F4:F20)</f>
        <v>98</v>
      </c>
      <c r="G22" s="28">
        <v>4.33</v>
      </c>
      <c r="H22" s="25">
        <v>0</v>
      </c>
      <c r="I22" s="5">
        <f t="shared" si="3"/>
        <v>424.34000000000003</v>
      </c>
      <c r="J22" s="7">
        <f>I22+H22</f>
        <v>424.34000000000003</v>
      </c>
      <c r="K22" s="7"/>
      <c r="L22" s="3" t="e">
        <f>#REF!-J22</f>
        <v>#REF!</v>
      </c>
      <c r="M22" s="2"/>
    </row>
    <row r="23" spans="1:13" ht="17.25" customHeight="1" x14ac:dyDescent="0.35">
      <c r="A23" s="1" t="s">
        <v>13</v>
      </c>
      <c r="B23" s="1"/>
      <c r="C23" s="1"/>
      <c r="D23" s="1" t="s">
        <v>18</v>
      </c>
      <c r="E23" s="30" t="s">
        <v>98</v>
      </c>
      <c r="F23" s="5">
        <v>100</v>
      </c>
      <c r="G23" s="28">
        <v>4.33</v>
      </c>
      <c r="H23" s="25">
        <v>0</v>
      </c>
      <c r="I23" s="5">
        <f>F23*G23</f>
        <v>433</v>
      </c>
      <c r="J23" s="7">
        <f>I23-H23</f>
        <v>433</v>
      </c>
      <c r="K23" s="7"/>
      <c r="L23" s="3" t="e">
        <f>#REF!-I23</f>
        <v>#REF!</v>
      </c>
      <c r="M23" s="2"/>
    </row>
    <row r="24" spans="1:13" ht="17.25" customHeight="1" x14ac:dyDescent="0.35">
      <c r="A24" s="1" t="s">
        <v>14</v>
      </c>
      <c r="B24" s="1"/>
      <c r="C24" s="1"/>
      <c r="D24" s="1" t="s">
        <v>51</v>
      </c>
      <c r="E24" s="5" t="s">
        <v>99</v>
      </c>
      <c r="F24" s="5">
        <v>0</v>
      </c>
      <c r="G24" s="28">
        <v>1</v>
      </c>
      <c r="H24" s="25">
        <v>0</v>
      </c>
      <c r="I24" s="5">
        <f t="shared" ref="I24:I42" si="5">F24*G24</f>
        <v>0</v>
      </c>
      <c r="J24" s="7">
        <f t="shared" ref="J24:J42" si="6">I24-H24</f>
        <v>0</v>
      </c>
      <c r="K24" s="7"/>
      <c r="L24" s="3" t="e">
        <f>#REF!-J24</f>
        <v>#REF!</v>
      </c>
      <c r="M24" s="2"/>
    </row>
    <row r="25" spans="1:13" ht="17.25" customHeight="1" x14ac:dyDescent="0.35">
      <c r="A25" s="1" t="s">
        <v>28</v>
      </c>
      <c r="B25" s="1"/>
      <c r="C25" s="1"/>
      <c r="D25" s="1" t="s">
        <v>29</v>
      </c>
      <c r="E25" s="5" t="s">
        <v>99</v>
      </c>
      <c r="F25" s="5">
        <v>500</v>
      </c>
      <c r="G25" s="28">
        <v>1</v>
      </c>
      <c r="H25" s="25">
        <v>0</v>
      </c>
      <c r="I25" s="5">
        <f t="shared" si="5"/>
        <v>500</v>
      </c>
      <c r="J25" s="7">
        <f t="shared" si="6"/>
        <v>500</v>
      </c>
      <c r="K25" s="7"/>
      <c r="L25" s="3" t="e">
        <f>#REF!-J25</f>
        <v>#REF!</v>
      </c>
      <c r="M25" s="2"/>
    </row>
    <row r="26" spans="1:13" ht="17.25" customHeight="1" x14ac:dyDescent="0.35">
      <c r="A26" s="1" t="s">
        <v>64</v>
      </c>
      <c r="B26" s="1"/>
      <c r="C26" s="1"/>
      <c r="D26" s="1" t="s">
        <v>65</v>
      </c>
      <c r="E26" s="5"/>
      <c r="F26" s="5">
        <v>500</v>
      </c>
      <c r="G26" s="28">
        <v>0</v>
      </c>
      <c r="H26" s="25">
        <v>0</v>
      </c>
      <c r="I26" s="5">
        <f t="shared" si="5"/>
        <v>0</v>
      </c>
      <c r="J26" s="7">
        <f t="shared" si="6"/>
        <v>0</v>
      </c>
      <c r="K26" s="7"/>
      <c r="L26" s="3" t="e">
        <f>#REF!-J26</f>
        <v>#REF!</v>
      </c>
      <c r="M26" s="2"/>
    </row>
    <row r="27" spans="1:13" ht="17.25" customHeight="1" x14ac:dyDescent="0.35">
      <c r="A27" s="1" t="s">
        <v>66</v>
      </c>
      <c r="B27" s="1"/>
      <c r="C27" s="1"/>
      <c r="D27" s="1" t="s">
        <v>38</v>
      </c>
      <c r="E27" s="5"/>
      <c r="F27" s="5">
        <v>0</v>
      </c>
      <c r="G27" s="28">
        <v>0</v>
      </c>
      <c r="H27" s="25">
        <v>0</v>
      </c>
      <c r="I27" s="5">
        <f t="shared" si="5"/>
        <v>0</v>
      </c>
      <c r="J27" s="7">
        <f t="shared" si="6"/>
        <v>0</v>
      </c>
      <c r="K27" s="7"/>
      <c r="L27" s="3" t="e">
        <f>#REF!-J27</f>
        <v>#REF!</v>
      </c>
      <c r="M27" s="2"/>
    </row>
    <row r="28" spans="1:13" ht="17.25" customHeight="1" x14ac:dyDescent="0.35">
      <c r="A28" s="1" t="s">
        <v>30</v>
      </c>
      <c r="B28" s="1"/>
      <c r="C28" s="1"/>
      <c r="D28" s="1" t="s">
        <v>31</v>
      </c>
      <c r="E28" s="5"/>
      <c r="F28" s="5">
        <v>0</v>
      </c>
      <c r="G28" s="28">
        <v>0</v>
      </c>
      <c r="H28" s="25">
        <v>0</v>
      </c>
      <c r="I28" s="5">
        <f t="shared" si="5"/>
        <v>0</v>
      </c>
      <c r="J28" s="7">
        <f t="shared" si="6"/>
        <v>0</v>
      </c>
      <c r="K28" s="7"/>
      <c r="L28" s="3" t="e">
        <f>#REF!-J28</f>
        <v>#REF!</v>
      </c>
      <c r="M28" s="2"/>
    </row>
    <row r="29" spans="1:13" ht="17.25" customHeight="1" x14ac:dyDescent="0.35">
      <c r="A29" s="1" t="s">
        <v>15</v>
      </c>
      <c r="B29" s="1"/>
      <c r="C29" s="1"/>
      <c r="D29" s="1" t="s">
        <v>19</v>
      </c>
      <c r="E29" s="5" t="s">
        <v>100</v>
      </c>
      <c r="F29" s="5">
        <v>5000</v>
      </c>
      <c r="G29" s="28">
        <v>1</v>
      </c>
      <c r="H29" s="25">
        <v>0</v>
      </c>
      <c r="I29" s="5">
        <f t="shared" si="5"/>
        <v>5000</v>
      </c>
      <c r="J29" s="7">
        <f t="shared" si="6"/>
        <v>5000</v>
      </c>
      <c r="K29" s="7"/>
      <c r="L29" s="3" t="e">
        <f>#REF!-J29</f>
        <v>#REF!</v>
      </c>
      <c r="M29" s="2"/>
    </row>
    <row r="30" spans="1:13" ht="17.25" customHeight="1" x14ac:dyDescent="0.35">
      <c r="A30" s="1" t="s">
        <v>56</v>
      </c>
      <c r="B30" s="1"/>
      <c r="C30" s="1"/>
      <c r="D30" s="1" t="s">
        <v>57</v>
      </c>
      <c r="E30" s="5" t="s">
        <v>99</v>
      </c>
      <c r="F30" s="5">
        <v>1000</v>
      </c>
      <c r="G30" s="28">
        <v>1</v>
      </c>
      <c r="H30" s="25">
        <v>0</v>
      </c>
      <c r="I30" s="5">
        <f t="shared" si="5"/>
        <v>1000</v>
      </c>
      <c r="J30" s="7">
        <f t="shared" si="6"/>
        <v>1000</v>
      </c>
      <c r="K30" s="7"/>
      <c r="L30" s="3" t="e">
        <f>#REF!-J30</f>
        <v>#REF!</v>
      </c>
      <c r="M30" s="2"/>
    </row>
    <row r="31" spans="1:13" ht="17.25" customHeight="1" x14ac:dyDescent="0.35">
      <c r="A31" s="1" t="s">
        <v>16</v>
      </c>
      <c r="B31" s="1"/>
      <c r="C31" s="1"/>
      <c r="D31" s="1" t="s">
        <v>20</v>
      </c>
      <c r="E31" s="5" t="s">
        <v>98</v>
      </c>
      <c r="F31" s="5">
        <v>100</v>
      </c>
      <c r="G31" s="28">
        <v>4.33</v>
      </c>
      <c r="H31" s="25">
        <v>0</v>
      </c>
      <c r="I31" s="5">
        <f t="shared" si="5"/>
        <v>433</v>
      </c>
      <c r="J31" s="7">
        <f t="shared" si="6"/>
        <v>433</v>
      </c>
      <c r="K31" s="7"/>
      <c r="L31" s="3" t="e">
        <f>#REF!-J31</f>
        <v>#REF!</v>
      </c>
      <c r="M31" s="2"/>
    </row>
    <row r="32" spans="1:13" ht="17.25" customHeight="1" x14ac:dyDescent="0.35">
      <c r="A32" s="1" t="s">
        <v>67</v>
      </c>
      <c r="B32" s="1"/>
      <c r="C32" s="1"/>
      <c r="D32" s="1" t="s">
        <v>68</v>
      </c>
      <c r="E32" s="5" t="s">
        <v>99</v>
      </c>
      <c r="F32" s="5">
        <v>500</v>
      </c>
      <c r="G32" s="28">
        <v>1</v>
      </c>
      <c r="H32" s="25">
        <v>0</v>
      </c>
      <c r="I32" s="5">
        <f t="shared" si="5"/>
        <v>500</v>
      </c>
      <c r="J32" s="7">
        <f t="shared" si="6"/>
        <v>500</v>
      </c>
      <c r="K32" s="7"/>
      <c r="L32" s="3" t="e">
        <f>#REF!-J32</f>
        <v>#REF!</v>
      </c>
      <c r="M32" s="2"/>
    </row>
    <row r="33" spans="1:13" ht="17.25" customHeight="1" x14ac:dyDescent="0.35">
      <c r="A33" s="1" t="s">
        <v>52</v>
      </c>
      <c r="B33" s="1"/>
      <c r="C33" s="1"/>
      <c r="D33" s="1" t="s">
        <v>69</v>
      </c>
      <c r="E33" s="5" t="s">
        <v>99</v>
      </c>
      <c r="F33" s="5">
        <v>300</v>
      </c>
      <c r="G33" s="28">
        <v>1</v>
      </c>
      <c r="H33" s="25">
        <v>0</v>
      </c>
      <c r="I33" s="5">
        <f t="shared" si="5"/>
        <v>300</v>
      </c>
      <c r="J33" s="7">
        <f t="shared" si="6"/>
        <v>300</v>
      </c>
      <c r="K33" s="7"/>
      <c r="L33" s="3" t="e">
        <f>#REF!-J33</f>
        <v>#REF!</v>
      </c>
      <c r="M33" s="2"/>
    </row>
    <row r="34" spans="1:13" ht="17.25" customHeight="1" x14ac:dyDescent="0.35">
      <c r="A34" s="1" t="s">
        <v>17</v>
      </c>
      <c r="B34" s="1"/>
      <c r="C34" s="1"/>
      <c r="D34" s="1" t="s">
        <v>70</v>
      </c>
      <c r="E34" s="5"/>
      <c r="F34" s="5">
        <v>1000</v>
      </c>
      <c r="G34" s="28">
        <v>0</v>
      </c>
      <c r="H34" s="25">
        <v>0</v>
      </c>
      <c r="I34" s="5">
        <f t="shared" si="5"/>
        <v>0</v>
      </c>
      <c r="J34" s="7">
        <f t="shared" si="6"/>
        <v>0</v>
      </c>
      <c r="K34" s="7"/>
      <c r="L34" s="3" t="e">
        <f>#REF!-J34</f>
        <v>#REF!</v>
      </c>
      <c r="M34" s="2"/>
    </row>
    <row r="35" spans="1:13" ht="17.25" customHeight="1" x14ac:dyDescent="0.35">
      <c r="A35" s="1" t="s">
        <v>39</v>
      </c>
      <c r="B35" s="1"/>
      <c r="C35" s="1"/>
      <c r="D35" s="1" t="s">
        <v>40</v>
      </c>
      <c r="E35" s="5" t="s">
        <v>98</v>
      </c>
      <c r="F35" s="5">
        <v>40</v>
      </c>
      <c r="G35" s="28">
        <v>4.33</v>
      </c>
      <c r="H35" s="25">
        <v>0</v>
      </c>
      <c r="I35" s="5">
        <f t="shared" si="5"/>
        <v>173.2</v>
      </c>
      <c r="J35" s="7">
        <f t="shared" si="6"/>
        <v>173.2</v>
      </c>
      <c r="K35" s="7"/>
      <c r="L35" s="3" t="e">
        <f>#REF!-J35</f>
        <v>#REF!</v>
      </c>
      <c r="M35" s="2"/>
    </row>
    <row r="36" spans="1:13" ht="17.25" customHeight="1" x14ac:dyDescent="0.35">
      <c r="A36" s="1" t="s">
        <v>41</v>
      </c>
      <c r="B36" s="1"/>
      <c r="C36" s="1"/>
      <c r="D36" s="1" t="s">
        <v>42</v>
      </c>
      <c r="E36" s="5"/>
      <c r="F36" s="5">
        <v>0</v>
      </c>
      <c r="G36" s="28">
        <v>0</v>
      </c>
      <c r="H36" s="25">
        <v>0</v>
      </c>
      <c r="I36" s="5">
        <f t="shared" si="5"/>
        <v>0</v>
      </c>
      <c r="J36" s="7">
        <f t="shared" si="6"/>
        <v>0</v>
      </c>
      <c r="K36" s="7"/>
      <c r="L36" s="3" t="e">
        <f>#REF!-J36</f>
        <v>#REF!</v>
      </c>
      <c r="M36" s="2"/>
    </row>
    <row r="37" spans="1:13" ht="17.25" customHeight="1" x14ac:dyDescent="0.35">
      <c r="A37" s="1" t="s">
        <v>71</v>
      </c>
      <c r="B37" s="1"/>
      <c r="C37" s="1"/>
      <c r="D37" s="1" t="s">
        <v>72</v>
      </c>
      <c r="E37" s="5"/>
      <c r="F37" s="5">
        <v>0</v>
      </c>
      <c r="G37" s="28">
        <v>0</v>
      </c>
      <c r="H37" s="25">
        <v>0</v>
      </c>
      <c r="I37" s="5">
        <f t="shared" si="5"/>
        <v>0</v>
      </c>
      <c r="J37" s="7">
        <f t="shared" si="6"/>
        <v>0</v>
      </c>
      <c r="K37" s="7"/>
      <c r="L37" s="3" t="e">
        <f>#REF!-J37</f>
        <v>#REF!</v>
      </c>
      <c r="M37" s="2"/>
    </row>
    <row r="38" spans="1:13" ht="17.25" customHeight="1" x14ac:dyDescent="0.35">
      <c r="A38" s="1" t="s">
        <v>53</v>
      </c>
      <c r="B38" s="1"/>
      <c r="C38" s="1"/>
      <c r="D38" s="1" t="s">
        <v>73</v>
      </c>
      <c r="E38" s="5" t="s">
        <v>101</v>
      </c>
      <c r="F38" s="36">
        <v>7.25E-5</v>
      </c>
      <c r="G38" s="28">
        <v>10000000</v>
      </c>
      <c r="H38" s="25">
        <v>0</v>
      </c>
      <c r="I38" s="5">
        <f t="shared" si="5"/>
        <v>725</v>
      </c>
      <c r="J38" s="7">
        <f t="shared" si="6"/>
        <v>725</v>
      </c>
      <c r="K38" s="7"/>
      <c r="L38" s="3" t="e">
        <f>#REF!-J38</f>
        <v>#REF!</v>
      </c>
      <c r="M38" s="2"/>
    </row>
    <row r="39" spans="1:13" ht="17.25" customHeight="1" x14ac:dyDescent="0.35">
      <c r="A39" s="1" t="s">
        <v>54</v>
      </c>
      <c r="B39" s="1"/>
      <c r="C39" s="1"/>
      <c r="D39" s="1" t="s">
        <v>55</v>
      </c>
      <c r="E39" s="5"/>
      <c r="F39" s="5">
        <v>0</v>
      </c>
      <c r="G39" s="28">
        <v>0</v>
      </c>
      <c r="H39" s="25">
        <v>0</v>
      </c>
      <c r="I39" s="5">
        <f t="shared" si="5"/>
        <v>0</v>
      </c>
      <c r="J39" s="7">
        <f t="shared" si="6"/>
        <v>0</v>
      </c>
      <c r="K39" s="7"/>
      <c r="L39" s="3" t="e">
        <f>#REF!-J39</f>
        <v>#REF!</v>
      </c>
      <c r="M39" s="2"/>
    </row>
    <row r="40" spans="1:13" ht="17.25" customHeight="1" x14ac:dyDescent="0.35">
      <c r="A40" s="1" t="s">
        <v>43</v>
      </c>
      <c r="B40" s="1"/>
      <c r="C40" s="1"/>
      <c r="D40" s="1" t="s">
        <v>44</v>
      </c>
      <c r="E40" s="5" t="s">
        <v>98</v>
      </c>
      <c r="F40" s="5">
        <v>100</v>
      </c>
      <c r="G40" s="28">
        <v>4.33</v>
      </c>
      <c r="H40" s="25">
        <v>0</v>
      </c>
      <c r="I40" s="5">
        <f t="shared" si="5"/>
        <v>433</v>
      </c>
      <c r="J40" s="7">
        <f t="shared" si="6"/>
        <v>433</v>
      </c>
      <c r="K40" s="7"/>
      <c r="L40" s="3" t="e">
        <f>#REF!-J40</f>
        <v>#REF!</v>
      </c>
      <c r="M40" s="2"/>
    </row>
    <row r="41" spans="1:13" ht="17.25" customHeight="1" x14ac:dyDescent="0.35">
      <c r="A41" s="1" t="s">
        <v>45</v>
      </c>
      <c r="B41" s="1"/>
      <c r="C41" s="1"/>
      <c r="D41" s="1" t="s">
        <v>46</v>
      </c>
      <c r="E41" s="5" t="s">
        <v>99</v>
      </c>
      <c r="F41" s="5">
        <v>500</v>
      </c>
      <c r="G41" s="28">
        <v>1</v>
      </c>
      <c r="H41" s="25">
        <v>0</v>
      </c>
      <c r="I41" s="5">
        <f t="shared" si="5"/>
        <v>500</v>
      </c>
      <c r="J41" s="7">
        <f t="shared" si="6"/>
        <v>500</v>
      </c>
      <c r="K41" s="7"/>
      <c r="L41" s="3" t="e">
        <f>#REF!-J41</f>
        <v>#REF!</v>
      </c>
      <c r="M41" s="2"/>
    </row>
    <row r="42" spans="1:13" x14ac:dyDescent="0.35">
      <c r="A42" s="1" t="s">
        <v>47</v>
      </c>
      <c r="B42" s="1"/>
      <c r="C42" s="1"/>
      <c r="D42" s="1" t="s">
        <v>48</v>
      </c>
      <c r="E42" s="5"/>
      <c r="F42" s="5">
        <v>0</v>
      </c>
      <c r="G42" s="28">
        <v>0</v>
      </c>
      <c r="H42" s="25">
        <v>0</v>
      </c>
      <c r="I42" s="5">
        <f t="shared" si="5"/>
        <v>0</v>
      </c>
      <c r="J42" s="7">
        <f t="shared" si="6"/>
        <v>0</v>
      </c>
      <c r="K42" s="7"/>
      <c r="L42" s="3" t="e">
        <f>#REF!-J42</f>
        <v>#REF!</v>
      </c>
      <c r="M42" s="2"/>
    </row>
    <row r="43" spans="1:13" x14ac:dyDescent="0.35">
      <c r="A43" s="2"/>
      <c r="B43" s="2"/>
      <c r="C43" s="2"/>
      <c r="D43" s="2"/>
      <c r="E43" s="8"/>
      <c r="F43" s="8"/>
      <c r="G43" s="8"/>
      <c r="H43" s="8">
        <f>SUM(H4:H42)</f>
        <v>0</v>
      </c>
      <c r="I43" s="8">
        <f>SUM(I4:I42)</f>
        <v>62078.439999999995</v>
      </c>
      <c r="J43" s="4">
        <f>SUM(J4:J16)+SUM(J17:J41)</f>
        <v>62078.44</v>
      </c>
      <c r="K43" s="4"/>
      <c r="L43" s="3" t="e">
        <f>#REF!-I43</f>
        <v>#REF!</v>
      </c>
      <c r="M43" s="2"/>
    </row>
    <row r="44" spans="1:13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</sheetData>
  <printOptions gridLines="1"/>
  <pageMargins left="0.7" right="0.7" top="0.75" bottom="0.75" header="0.3" footer="0.3"/>
  <pageSetup scale="70" orientation="portrait" r:id="rId1"/>
  <headerFooter>
    <oddHeader xml:space="preserve">&amp;LMonthly GC Calculator
</oddHeader>
    <oddFooter>&amp;RDate Printed: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GC's</vt:lpstr>
      <vt:lpstr>Monthly GC's</vt:lpstr>
      <vt:lpstr>'GC''s'!Print_Area</vt:lpstr>
      <vt:lpstr>'Monthly GC''s'!Print_Area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Hacker</dc:creator>
  <cp:lastModifiedBy>Avery Hacker</cp:lastModifiedBy>
  <cp:lastPrinted>2026-05-27T14:42:09Z</cp:lastPrinted>
  <dcterms:created xsi:type="dcterms:W3CDTF">2013-10-14T14:26:12Z</dcterms:created>
  <dcterms:modified xsi:type="dcterms:W3CDTF">2026-05-29T15:48:27Z</dcterms:modified>
</cp:coreProperties>
</file>