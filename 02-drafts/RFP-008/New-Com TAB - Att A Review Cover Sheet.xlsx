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901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contract amount summary" sheetId="2" state="visible" r:id="rId2"/>
    <sheet xmlns:r="http://schemas.openxmlformats.org/officeDocument/2006/relationships" name="list" sheetId="3" state="hidden" r:id="rId3"/>
  </sheets>
  <definedNames>
    <definedName name="list">list!$B$3:$B$6</definedName>
    <definedName name="PEs">list!$B$3:$B$6</definedName>
    <definedName name="PMs">list!$D$3:$D$6</definedName>
    <definedName name="ProjectEngineers">list!$B$3:$B$6</definedName>
    <definedName name="review_team">list!#REF!</definedName>
    <definedName name="_xlnm.Print_Area" localSheetId="0">'cover sheet'!$A$1:$F$27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#,##0.00;-#,##0.00"/>
  </numFmts>
  <fonts count="16">
    <font>
      <name val="Arial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8"/>
    </font>
    <font>
      <name val="Segoe UI"/>
      <family val="2"/>
      <sz val="10"/>
    </font>
    <font>
      <name val="Segoe UI"/>
      <family val="2"/>
      <b val="1"/>
      <sz val="18"/>
    </font>
    <font>
      <name val="Segoe UI"/>
      <family val="2"/>
      <b val="1"/>
      <sz val="12"/>
    </font>
    <font>
      <name val="Segoe UI"/>
      <family val="2"/>
      <sz val="9"/>
    </font>
    <font>
      <name val="Segoe UI"/>
      <family val="2"/>
      <b val="1"/>
      <sz val="14"/>
    </font>
    <font>
      <name val="Segoe UI"/>
      <family val="2"/>
      <b val="1"/>
      <sz val="9"/>
    </font>
    <font>
      <name val="Segoe UI"/>
      <family val="2"/>
      <sz val="11"/>
    </font>
    <font>
      <name val="Segoe UI"/>
      <family val="2"/>
      <b val="1"/>
      <sz val="10"/>
    </font>
    <font>
      <name val="Segoe UI"/>
      <family val="2"/>
      <b val="1"/>
      <color rgb="FF333333"/>
      <sz val="9"/>
    </font>
    <font>
      <name val="Segoe UI"/>
      <family val="2"/>
      <b val="1"/>
      <color rgb="FFFF0000"/>
      <sz val="1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applyAlignment="1" applyProtection="1" pivotButton="0" quotePrefix="0" xfId="0">
      <alignment vertical="center"/>
      <protection locked="0" hidden="0"/>
    </xf>
    <xf numFmtId="0" fontId="4" fillId="0" borderId="1" pivotButton="0" quotePrefix="0" xfId="0"/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14" fontId="13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0" fontId="13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4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3" pivotButton="0" quotePrefix="0" xfId="0"/>
    <xf numFmtId="168" fontId="0" fillId="0" borderId="3" pivotButton="0" quotePrefix="0" xfId="0"/>
    <xf numFmtId="0" fontId="15" fillId="0" borderId="3" pivotButton="0" quotePrefix="0" xfId="0"/>
    <xf numFmtId="4" fontId="15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27"/>
  <sheetViews>
    <sheetView tabSelected="1" zoomScaleNormal="100" workbookViewId="0">
      <selection activeCell="J14" sqref="J14"/>
    </sheetView>
  </sheetViews>
  <sheetFormatPr baseColWidth="8" defaultColWidth="9.16796875" defaultRowHeight="14.25"/>
  <cols>
    <col width="0.94140625" customWidth="1" style="21" min="1" max="1"/>
    <col width="17.2578125" customWidth="1" style="21" min="2" max="2"/>
    <col width="19.8203125" bestFit="1" customWidth="1" style="21" min="3" max="3"/>
    <col width="1.6171875" customWidth="1" style="21" min="4" max="4"/>
    <col width="22.7890625" customWidth="1" style="21" min="5" max="5"/>
    <col width="21.44140625" customWidth="1" style="21" min="6" max="6"/>
    <col width="20.765625" bestFit="1" customWidth="1" style="21" min="7" max="7"/>
    <col width="5.390625" customWidth="1" style="21" min="8" max="8"/>
    <col width="14.83203125" customWidth="1" style="21" min="9" max="9"/>
    <col width="13.484375" customWidth="1" style="5" min="10" max="10"/>
    <col width="5.390625" customWidth="1" style="21" min="11" max="11"/>
    <col width="9.16796875" customWidth="1" style="21" min="12" max="16384"/>
  </cols>
  <sheetData>
    <row r="2" ht="29.25" customHeight="1">
      <c r="D2" s="36" t="inlineStr">
        <is>
          <t>Attachment A Review Log</t>
        </is>
      </c>
      <c r="G2" s="4" t="n"/>
    </row>
    <row r="3" ht="14.25" customHeight="1">
      <c r="D3" s="37" t="inlineStr">
        <is>
          <t>NCSD - Tonopah High School Sports Field Replacement</t>
        </is>
      </c>
      <c r="G3" s="4" t="n"/>
    </row>
    <row r="4" ht="14.1" customHeight="1">
      <c r="D4" s="37" t="inlineStr">
        <is>
          <t>26-01-019</t>
        </is>
      </c>
      <c r="G4" s="4" t="n"/>
    </row>
    <row r="5" ht="21" customHeight="1">
      <c r="B5" s="15" t="n"/>
      <c r="L5" s="21" t="n"/>
      <c r="M5" s="8" t="n"/>
      <c r="N5" s="8" t="n"/>
      <c r="O5" s="21" t="n"/>
      <c r="P5" s="21" t="n"/>
    </row>
    <row r="6" ht="18.75" customHeight="1">
      <c r="B6" s="9" t="inlineStr">
        <is>
          <t>Approved By</t>
        </is>
      </c>
      <c r="C6" s="9" t="inlineStr">
        <is>
          <t>Approval Stamp</t>
        </is>
      </c>
      <c r="E6" s="9" t="inlineStr">
        <is>
          <t>Reviewed By</t>
        </is>
      </c>
      <c r="F6" s="9" t="inlineStr">
        <is>
          <t>Reviewed Stamp</t>
        </is>
      </c>
      <c r="K6" s="10" t="n"/>
      <c r="L6" s="21" t="n"/>
      <c r="M6" s="11" t="n"/>
      <c r="N6" s="11" t="n"/>
      <c r="O6" s="11" t="n"/>
      <c r="P6" s="21" t="n"/>
    </row>
    <row r="7" ht="40.5" customHeight="1">
      <c r="B7" s="31" t="inlineStr">
        <is>
          <t>Project Director</t>
        </is>
      </c>
      <c r="C7" s="32" t="n"/>
      <c r="E7" s="13" t="inlineStr">
        <is>
          <t>Project Manager</t>
        </is>
      </c>
      <c r="F7" s="14" t="n"/>
      <c r="L7" s="21" t="n"/>
      <c r="M7" s="15" t="n"/>
      <c r="N7" s="15" t="n"/>
      <c r="O7" s="19" t="n"/>
      <c r="P7" s="21" t="n"/>
    </row>
    <row r="8" ht="49.5" customHeight="1">
      <c r="B8" s="31" t="inlineStr">
        <is>
          <t>General Superintendent</t>
        </is>
      </c>
      <c r="C8" s="32" t="n"/>
      <c r="E8" s="17" t="inlineStr">
        <is>
          <t>Superintendent</t>
        </is>
      </c>
      <c r="F8" s="14" t="n"/>
      <c r="L8" s="21" t="n"/>
      <c r="M8" s="15" t="n"/>
      <c r="N8" s="15" t="n"/>
      <c r="O8" s="19" t="n"/>
      <c r="P8" s="21" t="n"/>
    </row>
    <row r="9" ht="46.5" customHeight="1">
      <c r="B9" s="31" t="inlineStr">
        <is>
          <t>Tim Roley or       Matt Wade                    (if over $5M)</t>
        </is>
      </c>
      <c r="C9" s="32" t="n"/>
      <c r="E9" s="18" t="inlineStr">
        <is>
          <t>Assistant PM (if applicable)</t>
        </is>
      </c>
      <c r="F9" s="32" t="n"/>
      <c r="J9" s="21" t="n"/>
      <c r="L9" s="21" t="n"/>
      <c r="M9" s="15" t="n"/>
      <c r="N9" s="15" t="n"/>
      <c r="O9" s="19" t="n"/>
      <c r="P9" s="21" t="n"/>
    </row>
    <row r="10" ht="18.75" customHeight="1">
      <c r="B10" s="15" t="n"/>
      <c r="C10" s="15" t="n"/>
      <c r="D10" s="19" t="n"/>
      <c r="E10" s="15" t="n"/>
      <c r="F10" s="15" t="n"/>
      <c r="G10" s="19" t="n"/>
      <c r="J10" s="21" t="n"/>
      <c r="L10" s="21" t="n"/>
      <c r="M10" s="21" t="n"/>
      <c r="N10" s="21" t="n"/>
      <c r="O10" s="21" t="n"/>
      <c r="P10" s="21" t="n"/>
    </row>
    <row r="11" ht="18.75" customHeight="1">
      <c r="B11" s="33" t="inlineStr">
        <is>
          <t>Final Session; add Invitees: Anne Tall, Erin Hicks, Kathleen Hamilton, Liz Pippett,  Inger Pippett</t>
        </is>
      </c>
      <c r="G11" s="19" t="n"/>
      <c r="I11" s="19" t="n"/>
      <c r="J11" s="21" t="n"/>
    </row>
    <row r="12" ht="18.75" customHeight="1">
      <c r="B12" s="30" t="n"/>
      <c r="C12" s="30" t="n"/>
      <c r="D12" s="30" t="n"/>
      <c r="E12" s="30" t="n"/>
      <c r="F12" s="30" t="n"/>
    </row>
    <row r="13" ht="17.25" customHeight="1">
      <c r="B13" s="39" t="inlineStr">
        <is>
          <t>Subcontractor:</t>
        </is>
      </c>
      <c r="D13" s="40" t="inlineStr">
        <is>
          <t>New-Com, Inc. (TAB Contractors and MMC, Inc.)</t>
        </is>
      </c>
      <c r="E13" s="41" t="n"/>
      <c r="F13" s="41" t="n"/>
      <c r="H13" s="5" t="n"/>
    </row>
    <row r="14" ht="20.25" customHeight="1">
      <c r="B14" s="20" t="n"/>
      <c r="C14" s="21" t="n"/>
      <c r="D14" s="21" t="n"/>
      <c r="E14" s="21" t="n"/>
      <c r="F14" s="21" t="n"/>
      <c r="H14" s="5" t="n"/>
    </row>
    <row r="15">
      <c r="B15" s="34" t="inlineStr">
        <is>
          <t>Anticipated Material Procurement Date:</t>
        </is>
      </c>
      <c r="D15" s="42" t="inlineStr">
        <is>
          <t>CONFIRM</t>
        </is>
      </c>
      <c r="E15" s="41" t="n"/>
      <c r="F15" s="41" t="n"/>
      <c r="H15" s="5" t="n"/>
    </row>
    <row r="16" ht="17.25" customHeight="1">
      <c r="B16" s="39" t="inlineStr">
        <is>
          <t>Anticipated Start Date:</t>
        </is>
      </c>
      <c r="D16" s="42" t="inlineStr">
        <is>
          <t>CONFIRM</t>
        </is>
      </c>
      <c r="E16" s="41" t="n"/>
      <c r="F16" s="41" t="n"/>
      <c r="H16" s="5" t="n"/>
    </row>
    <row r="17">
      <c r="B17" s="22" t="n"/>
      <c r="H17" s="43" t="n"/>
    </row>
    <row r="18">
      <c r="H18" s="5" t="n"/>
    </row>
    <row r="19">
      <c r="B19" s="21" t="inlineStr">
        <is>
          <t>*Phase Code</t>
        </is>
      </c>
      <c r="C19" s="24" t="inlineStr">
        <is>
          <t>02-1000-10000</t>
        </is>
      </c>
      <c r="E19" s="25" t="inlineStr">
        <is>
          <t>Dollar Amount</t>
        </is>
      </c>
      <c r="F19" s="44" t="n">
        <v>1741321</v>
      </c>
      <c r="H19" s="5" t="n"/>
    </row>
    <row r="20">
      <c r="B20" s="29" t="inlineStr">
        <is>
          <t xml:space="preserve">    *Only one Phase Code Per Subcontractor/Vendor per Tim Roley</t>
        </is>
      </c>
      <c r="E20" s="25" t="n"/>
      <c r="H20" s="5" t="n"/>
    </row>
    <row r="21">
      <c r="C21" s="25" t="n"/>
      <c r="E21" s="25" t="n"/>
      <c r="F21" s="45" t="n"/>
      <c r="H21" s="46" t="n"/>
    </row>
    <row r="22">
      <c r="E22" s="25" t="n"/>
      <c r="H22" s="5" t="n"/>
    </row>
    <row r="23">
      <c r="C23" s="25" t="n"/>
      <c r="E23" s="25" t="n"/>
      <c r="F23" s="45" t="n"/>
      <c r="H23" s="46" t="n"/>
    </row>
    <row r="24">
      <c r="E24" s="25" t="n"/>
      <c r="H24" s="5" t="n"/>
    </row>
    <row r="25">
      <c r="C25" s="25" t="n"/>
      <c r="E25" s="25" t="n"/>
      <c r="F25" s="45" t="n"/>
      <c r="H25" s="5" t="n"/>
    </row>
    <row r="26">
      <c r="H26" s="5" t="n"/>
    </row>
    <row r="27">
      <c r="B27" s="21" t="inlineStr">
        <is>
          <t>TOTAL (should equal contract total)</t>
        </is>
      </c>
      <c r="E27" s="38">
        <f>SUM(F19,F21,F23,F25)</f>
        <v/>
      </c>
    </row>
  </sheetData>
  <mergeCells count="11">
    <mergeCell ref="B13:C13"/>
    <mergeCell ref="D2:F2"/>
    <mergeCell ref="B16:C16"/>
    <mergeCell ref="D13:F13"/>
    <mergeCell ref="B15:C15"/>
    <mergeCell ref="B11:F11"/>
    <mergeCell ref="D4:F4"/>
    <mergeCell ref="E27:F27"/>
    <mergeCell ref="D3:F3"/>
    <mergeCell ref="D15:F15"/>
    <mergeCell ref="D16:F16"/>
  </mergeCells>
  <printOptions horizontalCentered="1"/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</cols>
  <sheetData>
    <row r="1">
      <c r="A1" s="47" t="inlineStr">
        <is>
          <t>How we got to the contract amount — RFP-008 — New-Com, Inc. (TAB Contractors and MMC, Inc.)</t>
        </is>
      </c>
    </row>
    <row r="2" ht="30" customHeight="1">
      <c r="A2" s="48" t="inlineStr">
        <is>
          <t>Reconciled to GMP R2 leveling sheet tab '8' (Site Demo, Earthwork, Paving &amp; Wet Utilities). The leveling total is SUM of the priced column; values marked with an asterisk on that sheet are options and do not count toward it.</t>
        </is>
      </c>
    </row>
    <row r="4">
      <c r="A4" s="49" t="inlineStr">
        <is>
          <t>Base Bid — TAB proposal 05.12.26, restated 05.22.26</t>
        </is>
      </c>
      <c r="B4" s="50" t="n">
        <v>1924851</v>
      </c>
    </row>
    <row r="5">
      <c r="A5" s="49" t="inlineStr">
        <is>
          <t>Deduct: delete Type II and geofabric from turf field</t>
        </is>
      </c>
      <c r="B5" s="50" t="n">
        <v>-150000</v>
      </c>
    </row>
    <row r="6">
      <c r="A6" s="49" t="inlineStr">
        <is>
          <t>Deduct: delete slot / trench drains at track</t>
        </is>
      </c>
      <c r="B6" s="50" t="n">
        <v>-125000</v>
      </c>
    </row>
    <row r="7">
      <c r="A7" s="49" t="inlineStr">
        <is>
          <t>Add: additional 8" perforated field drain, south end of field (210 LF)</t>
        </is>
      </c>
      <c r="B7" s="50" t="n">
        <v>30000</v>
      </c>
    </row>
    <row r="8">
      <c r="A8" s="49" t="inlineStr">
        <is>
          <t>Deduct: Accepted VE #10 — leave access road as-is (incl. relocation of 2,100 CY to stockpile)</t>
        </is>
      </c>
      <c r="B8" s="50" t="n">
        <v>-16750</v>
      </c>
    </row>
    <row r="9">
      <c r="A9" s="49" t="inlineStr">
        <is>
          <t>Add: D-10 dozer for hard dig, 1 month (saves 2 weeks)</t>
        </is>
      </c>
      <c r="B9" s="50" t="n">
        <v>70000</v>
      </c>
    </row>
    <row r="10">
      <c r="A10" s="49" t="inlineStr">
        <is>
          <t>Add: trencher for storm drain</t>
        </is>
      </c>
      <c r="B10" s="50" t="n">
        <v>18720</v>
      </c>
    </row>
    <row r="11">
      <c r="A11" s="49" t="inlineStr">
        <is>
          <t>Deduct: Accepted VE #9 — RCP flared end section in lieu of headwall</t>
        </is>
      </c>
      <c r="B11" s="50" t="n">
        <v>-10500</v>
      </c>
    </row>
    <row r="12">
      <c r="A12" s="51" t="inlineStr">
        <is>
          <t>CONTRACT TOTAL</t>
        </is>
      </c>
      <c r="B12" s="52" t="n">
        <v>1741321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F37" sqref="F37"/>
    </sheetView>
  </sheetViews>
  <sheetFormatPr baseColWidth="8" defaultRowHeight="12.75"/>
  <cols>
    <col width="4.8515625" customWidth="1" min="1" max="1"/>
    <col width="18.609375" customWidth="1" min="2" max="2"/>
  </cols>
  <sheetData>
    <row r="2" ht="12.75" customHeight="1">
      <c r="B2" s="1" t="n"/>
      <c r="C2" s="1" t="n"/>
      <c r="D2" s="1" t="n"/>
    </row>
    <row r="3">
      <c r="B3" s="2" t="inlineStr">
        <is>
          <t>Roger Baum</t>
        </is>
      </c>
      <c r="C3" s="2" t="n"/>
      <c r="D3" s="2" t="n"/>
    </row>
    <row r="4">
      <c r="B4" s="2" t="inlineStr">
        <is>
          <t>Merv Giles</t>
        </is>
      </c>
      <c r="C4" s="2" t="n"/>
      <c r="D4" s="2" t="n"/>
    </row>
    <row r="5">
      <c r="B5" s="2" t="inlineStr">
        <is>
          <t>Matt Buckhannon</t>
        </is>
      </c>
      <c r="C5" s="2" t="n"/>
      <c r="D5" s="2" t="n"/>
    </row>
    <row r="6">
      <c r="B6" s="2" t="inlineStr">
        <is>
          <t>Jim Jacobs</t>
        </is>
      </c>
      <c r="D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Roger Baum</dc:creator>
  <dcterms:created xmlns:dcterms="http://purl.org/dc/terms/" xmlns:xsi="http://www.w3.org/2001/XMLSchema-instance" xsi:type="dcterms:W3CDTF">2006-10-04T15:06:08Z</dcterms:created>
  <dcterms:modified xmlns:dcterms="http://purl.org/dc/terms/" xmlns:xsi="http://www.w3.org/2001/XMLSchema-instance" xsi:type="dcterms:W3CDTF">2026-08-07T05:45:16Z</dcterms:modified>
  <cp:lastModifiedBy>X</cp:lastModifiedBy>
  <cp:lastPrinted>2015-04-29T22:38:01Z</cp:lastPrinted>
</cp:coreProperties>
</file>